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B903817C0ACB8C/Desktop/ドキュメント/"/>
    </mc:Choice>
  </mc:AlternateContent>
  <xr:revisionPtr revIDLastSave="0" documentId="8_{43432DDF-B83E-47FA-B784-F53127C5F449}" xr6:coauthVersionLast="47" xr6:coauthVersionMax="47" xr10:uidLastSave="{00000000-0000-0000-0000-000000000000}"/>
  <bookViews>
    <workbookView xWindow="-110" yWindow="-110" windowWidth="19420" windowHeight="11500" xr2:uid="{8732FF5C-2404-470D-9609-3EA5F7685C87}"/>
  </bookViews>
  <sheets>
    <sheet name="CORE MANPOWE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1" i="1" l="1"/>
  <c r="AN31" i="1"/>
  <c r="AP30" i="1"/>
  <c r="AN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N30" i="1"/>
  <c r="L30" i="1"/>
  <c r="M29" i="1"/>
  <c r="L29" i="1"/>
  <c r="E29" i="1"/>
  <c r="C29" i="1"/>
  <c r="B29" i="1"/>
  <c r="N28" i="1"/>
  <c r="M28" i="1"/>
  <c r="L28" i="1"/>
  <c r="E28" i="1"/>
  <c r="C28" i="1"/>
  <c r="B28" i="1"/>
  <c r="N27" i="1"/>
  <c r="M27" i="1"/>
  <c r="L27" i="1"/>
  <c r="E27" i="1"/>
  <c r="C27" i="1"/>
  <c r="B27" i="1"/>
  <c r="N26" i="1"/>
  <c r="M26" i="1"/>
  <c r="L26" i="1"/>
  <c r="E26" i="1"/>
  <c r="N25" i="1"/>
  <c r="M25" i="1"/>
  <c r="L25" i="1"/>
  <c r="E25" i="1"/>
  <c r="E31" i="1" s="1"/>
  <c r="AP24" i="1"/>
  <c r="AN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L24" i="1"/>
  <c r="AP23" i="1"/>
  <c r="AN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P22" i="1"/>
  <c r="AN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L22" i="1"/>
  <c r="AP21" i="1"/>
  <c r="AN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P20" i="1"/>
  <c r="AN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P19" i="1"/>
  <c r="AN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K19" i="1"/>
  <c r="AP18" i="1"/>
  <c r="AN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L18" i="1"/>
  <c r="K18" i="1"/>
  <c r="AP17" i="1"/>
  <c r="AN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N17" i="1"/>
  <c r="M17" i="1"/>
  <c r="L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N16" i="1"/>
  <c r="L16" i="1"/>
  <c r="K16" i="1"/>
  <c r="AL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M15" i="1"/>
  <c r="L15" i="1"/>
  <c r="K15" i="1"/>
  <c r="AQ14" i="1"/>
  <c r="AN14" i="1"/>
  <c r="AM14" i="1"/>
  <c r="AJ14" i="1"/>
  <c r="AI14" i="1"/>
  <c r="AG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N14" i="1"/>
  <c r="M14" i="1"/>
  <c r="L14" i="1"/>
  <c r="K14" i="1"/>
  <c r="AP13" i="1"/>
  <c r="AN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N13" i="1"/>
  <c r="L13" i="1"/>
  <c r="AP12" i="1"/>
  <c r="AN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N12" i="1"/>
  <c r="L12" i="1"/>
  <c r="K12" i="1"/>
  <c r="AP11" i="1"/>
  <c r="AN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N11" i="1"/>
  <c r="L11" i="1"/>
  <c r="K11" i="1"/>
  <c r="AP10" i="1"/>
  <c r="AN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P9" i="1"/>
  <c r="AN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N9" i="1"/>
  <c r="L9" i="1"/>
  <c r="AP8" i="1"/>
  <c r="AN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N8" i="1"/>
  <c r="AP7" i="1"/>
  <c r="AN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K7" i="1"/>
  <c r="AP6" i="1"/>
  <c r="AN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N6" i="1"/>
  <c r="M6" i="1"/>
  <c r="K6" i="1"/>
  <c r="K31" i="1" s="1"/>
  <c r="AE3" i="1" s="1"/>
  <c r="AQ3" i="1" s="1"/>
  <c r="AP5" i="1"/>
  <c r="AO5" i="1"/>
  <c r="AM5" i="1"/>
  <c r="AL5" i="1"/>
  <c r="AK5" i="1"/>
  <c r="AJ5" i="1"/>
  <c r="AI5" i="1"/>
  <c r="AH5" i="1"/>
  <c r="AG5" i="1"/>
  <c r="AF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O31" i="1" s="1"/>
  <c r="AE5" i="1" s="1"/>
  <c r="AQ5" i="1" s="1"/>
  <c r="N5" i="1"/>
  <c r="M5" i="1"/>
  <c r="M31" i="1" s="1"/>
  <c r="AE4" i="1" s="1"/>
  <c r="AQ4" i="1" s="1"/>
  <c r="AQ15" i="1" s="1"/>
  <c r="AP4" i="1"/>
  <c r="AO4" i="1"/>
  <c r="AM4" i="1"/>
  <c r="AL4" i="1"/>
  <c r="AK4" i="1"/>
  <c r="AJ4" i="1"/>
  <c r="AI4" i="1"/>
  <c r="AH4" i="1"/>
  <c r="AG4" i="1"/>
  <c r="AP15" i="1" s="1"/>
  <c r="AF4" i="1"/>
  <c r="AF15" i="1" s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N4" i="1"/>
  <c r="L4" i="1"/>
  <c r="AP3" i="1"/>
  <c r="AO3" i="1"/>
  <c r="AM3" i="1"/>
  <c r="AL3" i="1"/>
  <c r="AK3" i="1"/>
  <c r="AJ3" i="1"/>
  <c r="AI3" i="1"/>
  <c r="AH3" i="1"/>
  <c r="AG3" i="1"/>
  <c r="AF3" i="1"/>
  <c r="AP2" i="1"/>
  <c r="AP14" i="1" s="1"/>
  <c r="AO2" i="1"/>
  <c r="AO14" i="1" s="1"/>
  <c r="AN2" i="1"/>
  <c r="AM2" i="1"/>
  <c r="AL2" i="1"/>
  <c r="AL14" i="1" s="1"/>
  <c r="AK2" i="1"/>
  <c r="AK14" i="1" s="1"/>
  <c r="AJ2" i="1"/>
  <c r="AI2" i="1"/>
  <c r="AH2" i="1"/>
  <c r="AH14" i="1" s="1"/>
  <c r="AG2" i="1"/>
  <c r="AF2" i="1"/>
  <c r="AF14" i="1" s="1"/>
  <c r="AG15" i="1" l="1"/>
  <c r="AH15" i="1"/>
  <c r="AI15" i="1"/>
  <c r="AJ15" i="1"/>
  <c r="AK15" i="1"/>
  <c r="AM15" i="1"/>
  <c r="AN15" i="1"/>
  <c r="AO15" i="1"/>
</calcChain>
</file>

<file path=xl/sharedStrings.xml><?xml version="1.0" encoding="utf-8"?>
<sst xmlns="http://schemas.openxmlformats.org/spreadsheetml/2006/main" count="108" uniqueCount="47">
  <si>
    <t>CORE TEAM SALARY BOOKING SHEET</t>
  </si>
  <si>
    <t>SL No</t>
  </si>
  <si>
    <t>Name</t>
  </si>
  <si>
    <t>Designation</t>
  </si>
  <si>
    <t>Project</t>
  </si>
  <si>
    <t>Monthly CTC</t>
  </si>
  <si>
    <t>Attendance</t>
  </si>
  <si>
    <t>Amount</t>
  </si>
  <si>
    <t>Month</t>
  </si>
  <si>
    <t>LSGB</t>
  </si>
  <si>
    <t>Heksy Sebastian</t>
  </si>
  <si>
    <t>Admistrative Assistant (Projects)</t>
  </si>
  <si>
    <t>CORE TEAM</t>
  </si>
  <si>
    <t>Manjusha V</t>
  </si>
  <si>
    <t>Ashitha Vins V M</t>
  </si>
  <si>
    <t>Backend Support</t>
  </si>
  <si>
    <t>Savitha Y</t>
  </si>
  <si>
    <t>Soumya S K</t>
  </si>
  <si>
    <t>Field Assistant</t>
  </si>
  <si>
    <t>Gayatri Vijay L</t>
  </si>
  <si>
    <t>Project Assistant</t>
  </si>
  <si>
    <t>Vignesh Kumar P B</t>
  </si>
  <si>
    <t>Office Assistant</t>
  </si>
  <si>
    <t>Saidali Safar</t>
  </si>
  <si>
    <t>Procurement Assistant</t>
  </si>
  <si>
    <t>Dhanya B L</t>
  </si>
  <si>
    <t>Titu S Jayan</t>
  </si>
  <si>
    <t>Project Assistant (Accounts)</t>
  </si>
  <si>
    <t>Devika Prasad</t>
  </si>
  <si>
    <t>Project Associate (Community Development)</t>
  </si>
  <si>
    <t>K Anakha Soman</t>
  </si>
  <si>
    <t>Jithin Dominic</t>
  </si>
  <si>
    <t>Divya Vinod</t>
  </si>
  <si>
    <t>Project Associate (Public Health)</t>
  </si>
  <si>
    <t>Sherin Jacob</t>
  </si>
  <si>
    <t>Lenita G Lawrence</t>
  </si>
  <si>
    <t>Anjaly V</t>
  </si>
  <si>
    <t>Project Facilitator</t>
  </si>
  <si>
    <t>Syamili</t>
  </si>
  <si>
    <t>Silpa</t>
  </si>
  <si>
    <t>Accounts Assistant</t>
  </si>
  <si>
    <t>Neelima K N</t>
  </si>
  <si>
    <t>Administartive Assiatant (HR)</t>
  </si>
  <si>
    <t>Vishnu</t>
  </si>
  <si>
    <t>Jayalakshmi J</t>
  </si>
  <si>
    <t>Arjuna V Nath</t>
  </si>
  <si>
    <t xml:space="preserve">Anakha Joy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</si>
</sst>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2" xfId="0" applyFont="1" applyBorder="1"/>
    <xf numFmtId="0" fontId="1" fillId="2" borderId="2" xfId="0" applyFont="1" applyFill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17" fontId="4" fillId="0" borderId="6" xfId="0" applyNumberFormat="1" applyFont="1" applyBorder="1" applyAlignment="1">
      <alignment horizontal="right" wrapText="1"/>
    </xf>
    <xf numFmtId="2" fontId="4" fillId="0" borderId="7" xfId="0" applyNumberFormat="1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2" fontId="4" fillId="0" borderId="8" xfId="0" applyNumberFormat="1" applyFont="1" applyBorder="1" applyAlignment="1">
      <alignment wrapText="1"/>
    </xf>
    <xf numFmtId="2" fontId="4" fillId="0" borderId="9" xfId="0" applyNumberFormat="1" applyFont="1" applyBorder="1" applyAlignment="1">
      <alignment wrapText="1"/>
    </xf>
    <xf numFmtId="17" fontId="4" fillId="0" borderId="10" xfId="0" applyNumberFormat="1" applyFont="1" applyBorder="1" applyAlignment="1">
      <alignment horizontal="right" wrapText="1"/>
    </xf>
    <xf numFmtId="2" fontId="4" fillId="0" borderId="11" xfId="0" applyNumberFormat="1" applyFont="1" applyBorder="1" applyAlignment="1">
      <alignment horizontal="right" wrapText="1"/>
    </xf>
    <xf numFmtId="0" fontId="4" fillId="0" borderId="9" xfId="0" applyFont="1" applyBorder="1" applyAlignment="1">
      <alignment wrapText="1"/>
    </xf>
    <xf numFmtId="4" fontId="4" fillId="0" borderId="11" xfId="0" applyNumberFormat="1" applyFont="1" applyBorder="1" applyAlignment="1">
      <alignment horizontal="right" wrapText="1"/>
    </xf>
    <xf numFmtId="17" fontId="4" fillId="0" borderId="11" xfId="0" applyNumberFormat="1" applyFont="1" applyBorder="1" applyAlignment="1">
      <alignment horizontal="right" wrapText="1"/>
    </xf>
    <xf numFmtId="0" fontId="1" fillId="4" borderId="2" xfId="0" applyFont="1" applyFill="1" applyBorder="1"/>
    <xf numFmtId="17" fontId="4" fillId="0" borderId="12" xfId="0" applyNumberFormat="1" applyFont="1" applyBorder="1" applyAlignment="1">
      <alignment horizontal="right" wrapText="1"/>
    </xf>
    <xf numFmtId="17" fontId="4" fillId="0" borderId="13" xfId="0" applyNumberFormat="1" applyFont="1" applyBorder="1" applyAlignment="1">
      <alignment horizontal="right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6b903817c0acb8c/Desktop/&#12489;&#12461;&#12517;&#12513;&#12531;&#12488;/EXPENSE-%20MASTER%20SHEET%20(1).xlsx" TargetMode="External"/><Relationship Id="rId1" Type="http://schemas.openxmlformats.org/officeDocument/2006/relationships/externalLinkPath" Target="EXPENSE-%20MASTER%20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sheet"/>
      <sheetName val="HMA HR REVNUE SHEET"/>
      <sheetName val="admin Sheet2"/>
      <sheetName val="admin Sheet3"/>
      <sheetName val="responsiblity"/>
      <sheetName val="MANPOWER"/>
      <sheetName val="PROJECT SHEET"/>
      <sheetName val="Sheet2"/>
      <sheetName val="Sheet3"/>
      <sheetName val="MASTER FILE"/>
      <sheetName val="AUGUST 2025 ADMIN EXPENSES"/>
      <sheetName val="SEPTEMBER 2025 ADMIN EXPENSES"/>
      <sheetName val="PROJECT MASTER FILE"/>
      <sheetName val="PROJECT MASTER FILE - COPY"/>
      <sheetName val="CORE MANPOWER"/>
      <sheetName val="PROJECT MANPOWER"/>
      <sheetName val="JUNE PROJECT MANPOWER"/>
      <sheetName val="JULY 2025 ADMIN EXPENSES"/>
      <sheetName val="HEKSY"/>
      <sheetName val="MANJUSHA"/>
      <sheetName val="VISHNU"/>
      <sheetName val="ANAKHA JOY"/>
      <sheetName val="SOUMYA S K"/>
      <sheetName val="VIGNESH KUMAR"/>
      <sheetName val="ASHITHA VINS"/>
      <sheetName val="SAVITHA Y"/>
      <sheetName val="SILPA P L"/>
      <sheetName val="GAYATHRI VIJAY"/>
      <sheetName val="SAKSHI BALRAM SAVRE"/>
      <sheetName val="CHAITRA"/>
      <sheetName val="Monali"/>
      <sheetName val="RAKHEE"/>
      <sheetName val="JAYALEKSHMI J"/>
      <sheetName val="SUSHILA"/>
      <sheetName val="SYAMILI"/>
      <sheetName val="NEELIMA K N"/>
      <sheetName val="SAIDALI SAFAR"/>
      <sheetName val="TITU S JAYAN"/>
      <sheetName val="DHANYA B L"/>
      <sheetName val="MARIYATHUL HIBITHYA"/>
      <sheetName val="RUKSANA BEEGUM"/>
      <sheetName val="ASHWINI RANJANE"/>
      <sheetName val="SWATHY KRISHNA S"/>
      <sheetName val="ANJALI PRAKASH K"/>
      <sheetName val="AJILA MOHAN N J"/>
      <sheetName val="ARATHY A S KUMAR"/>
      <sheetName val="JUHAINA C K"/>
      <sheetName val="NAVYA M"/>
      <sheetName val="GOKUL V"/>
      <sheetName val="ALKA WADHWA"/>
      <sheetName val="ANJALY V"/>
      <sheetName val="ANJALY A S"/>
      <sheetName val="RAKHI MOHAN"/>
      <sheetName val="ABHIRAMI N A "/>
      <sheetName val="SARIKA P S KRISHNA"/>
      <sheetName val="BHAVYA R J"/>
      <sheetName val="JESNA C"/>
      <sheetName val="RASNA K S"/>
      <sheetName val="LENITA  G LAWRENCE"/>
      <sheetName val="DEVIKA PRASAD"/>
      <sheetName val="JAYALAKSHMI M J"/>
      <sheetName val="ARJUNA V NATH"/>
      <sheetName val="K ANAKHA SOMAN"/>
      <sheetName val="JITHIN DOMNIC"/>
      <sheetName val="DIVYA VINOD"/>
      <sheetName val="SHERIN JACOB"/>
      <sheetName val="REJITHA RA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HLL Maharashtra</v>
          </cell>
          <cell r="N3">
            <v>0</v>
          </cell>
          <cell r="O3">
            <v>0</v>
          </cell>
          <cell r="P3">
            <v>0</v>
          </cell>
        </row>
        <row r="16">
          <cell r="B16" t="str">
            <v>HLL Malappuram</v>
          </cell>
          <cell r="N16">
            <v>5006</v>
          </cell>
          <cell r="O16">
            <v>5007</v>
          </cell>
          <cell r="P16">
            <v>5007</v>
          </cell>
        </row>
        <row r="29">
          <cell r="B29" t="str">
            <v>Power Grid Corporation of India Limited - Yelahanka, Bangalore</v>
          </cell>
          <cell r="N29">
            <v>8409</v>
          </cell>
          <cell r="O29">
            <v>8409</v>
          </cell>
          <cell r="P29">
            <v>8409</v>
          </cell>
        </row>
        <row r="42">
          <cell r="B42" t="str">
            <v>Cochin Shipyard Limited - Andaman</v>
          </cell>
          <cell r="N42">
            <v>6250</v>
          </cell>
          <cell r="O42">
            <v>6250</v>
          </cell>
          <cell r="P42">
            <v>6250</v>
          </cell>
        </row>
        <row r="55">
          <cell r="B55" t="str">
            <v>IOCL - Panipat</v>
          </cell>
          <cell r="N55">
            <v>0</v>
          </cell>
          <cell r="O55">
            <v>0</v>
          </cell>
          <cell r="P55">
            <v>0</v>
          </cell>
        </row>
        <row r="68">
          <cell r="B68" t="str">
            <v>HLL Cotton Hill, Trivandrum</v>
          </cell>
          <cell r="N68">
            <v>0</v>
          </cell>
          <cell r="O68">
            <v>0</v>
          </cell>
        </row>
        <row r="81">
          <cell r="B81" t="str">
            <v>Swasthya-An innovative behaviour change programme for Aneamia in women of reproductive age</v>
          </cell>
          <cell r="N81">
            <v>5555</v>
          </cell>
          <cell r="O81">
            <v>5556</v>
          </cell>
          <cell r="P81">
            <v>5556</v>
          </cell>
        </row>
        <row r="94">
          <cell r="B94" t="str">
            <v>Counselling support for transgender individuals-pre and post surgery and non surgical pathways in gender transition</v>
          </cell>
          <cell r="N94">
            <v>5876</v>
          </cell>
          <cell r="O94">
            <v>5877</v>
          </cell>
        </row>
        <row r="107">
          <cell r="B107" t="str">
            <v>Inclusive community mental health initiative in Wayanad district</v>
          </cell>
          <cell r="N107">
            <v>10714</v>
          </cell>
          <cell r="O107">
            <v>10714</v>
          </cell>
          <cell r="P107">
            <v>10714</v>
          </cell>
        </row>
        <row r="120">
          <cell r="B120" t="str">
            <v>My City</v>
          </cell>
        </row>
        <row r="133">
          <cell r="B133" t="str">
            <v>Exploring the correlation and Diagnostic potential of Menstrual Blood</v>
          </cell>
        </row>
      </sheetData>
      <sheetData sheetId="14"/>
      <sheetData sheetId="15">
        <row r="4">
          <cell r="E4">
            <v>24448</v>
          </cell>
        </row>
        <row r="11">
          <cell r="B11" t="str">
            <v>Swathy Krishna S</v>
          </cell>
          <cell r="C11" t="str">
            <v>Project Associate (Community Development)</v>
          </cell>
          <cell r="E11">
            <v>30186</v>
          </cell>
        </row>
        <row r="14">
          <cell r="B14" t="str">
            <v>Bhavya R J</v>
          </cell>
          <cell r="C14" t="str">
            <v>Project Associate (Public Health)</v>
          </cell>
          <cell r="E14">
            <v>31762</v>
          </cell>
        </row>
        <row r="17">
          <cell r="E17">
            <v>32035</v>
          </cell>
        </row>
        <row r="18">
          <cell r="B18" t="str">
            <v>Rejitha Ravi</v>
          </cell>
          <cell r="C18" t="str">
            <v>Project Associate (Public Health)</v>
          </cell>
          <cell r="E18">
            <v>32035</v>
          </cell>
        </row>
      </sheetData>
      <sheetData sheetId="16"/>
      <sheetData sheetId="17"/>
      <sheetData sheetId="18">
        <row r="37">
          <cell r="L37">
            <v>28.5</v>
          </cell>
          <cell r="N37">
            <v>29.5</v>
          </cell>
          <cell r="P37">
            <v>26</v>
          </cell>
          <cell r="Q37">
            <v>24379.333333333339</v>
          </cell>
          <cell r="R37">
            <v>28</v>
          </cell>
          <cell r="S37">
            <v>25407.74193548386</v>
          </cell>
          <cell r="T37">
            <v>30</v>
          </cell>
          <cell r="U37">
            <v>28130.000000000011</v>
          </cell>
          <cell r="V37">
            <v>31</v>
          </cell>
          <cell r="W37">
            <v>28129.999999999985</v>
          </cell>
          <cell r="X37">
            <v>31</v>
          </cell>
          <cell r="Y37">
            <v>28129.999999999985</v>
          </cell>
          <cell r="Z37">
            <v>28</v>
          </cell>
          <cell r="AA37">
            <v>28130.000000000015</v>
          </cell>
          <cell r="AB37">
            <v>31</v>
          </cell>
          <cell r="AC37">
            <v>28129.999999999985</v>
          </cell>
        </row>
      </sheetData>
      <sheetData sheetId="19">
        <row r="37">
          <cell r="M37">
            <v>27597.999999999996</v>
          </cell>
          <cell r="N37">
            <v>31</v>
          </cell>
          <cell r="O37">
            <v>27597.999999999996</v>
          </cell>
          <cell r="P37">
            <v>26</v>
          </cell>
          <cell r="Q37">
            <v>23918.266666666666</v>
          </cell>
          <cell r="R37">
            <v>26</v>
          </cell>
          <cell r="S37">
            <v>23146.709677419352</v>
          </cell>
          <cell r="T37">
            <v>30</v>
          </cell>
          <cell r="U37">
            <v>27598.000000000004</v>
          </cell>
          <cell r="V37">
            <v>31</v>
          </cell>
          <cell r="W37">
            <v>27597.999999999996</v>
          </cell>
          <cell r="X37">
            <v>31</v>
          </cell>
          <cell r="Y37">
            <v>27597.999999999996</v>
          </cell>
          <cell r="Z37">
            <v>28</v>
          </cell>
          <cell r="AA37">
            <v>27598.000000000015</v>
          </cell>
          <cell r="AB37">
            <v>31</v>
          </cell>
          <cell r="AC37">
            <v>27597.999999999996</v>
          </cell>
        </row>
      </sheetData>
      <sheetData sheetId="20">
        <row r="37">
          <cell r="L37">
            <v>22</v>
          </cell>
          <cell r="N37">
            <v>31</v>
          </cell>
          <cell r="O37">
            <v>21366.999999999996</v>
          </cell>
          <cell r="P37">
            <v>27.5</v>
          </cell>
          <cell r="Q37">
            <v>19586.416666666672</v>
          </cell>
          <cell r="R37">
            <v>30.5</v>
          </cell>
          <cell r="S37">
            <v>21022.370967741932</v>
          </cell>
          <cell r="T37">
            <v>30</v>
          </cell>
          <cell r="U37">
            <v>21367.000000000004</v>
          </cell>
          <cell r="V37">
            <v>31</v>
          </cell>
          <cell r="W37">
            <v>21366.999999999996</v>
          </cell>
          <cell r="X37">
            <v>31</v>
          </cell>
          <cell r="Y37">
            <v>21366.999999999996</v>
          </cell>
          <cell r="Z37">
            <v>28</v>
          </cell>
          <cell r="AA37">
            <v>21366.999999999993</v>
          </cell>
          <cell r="AB37">
            <v>31</v>
          </cell>
          <cell r="AC37">
            <v>21366.999999999996</v>
          </cell>
        </row>
      </sheetData>
      <sheetData sheetId="21">
        <row r="37">
          <cell r="L37">
            <v>30</v>
          </cell>
          <cell r="N37">
            <v>27.5</v>
          </cell>
          <cell r="P37">
            <v>25</v>
          </cell>
          <cell r="Q37">
            <v>17805.833333333336</v>
          </cell>
          <cell r="R37">
            <v>29.5</v>
          </cell>
          <cell r="S37">
            <v>20333.112903225803</v>
          </cell>
          <cell r="T37">
            <v>30</v>
          </cell>
          <cell r="U37">
            <v>21367.000000000004</v>
          </cell>
          <cell r="V37">
            <v>31</v>
          </cell>
          <cell r="W37">
            <v>21366.999999999996</v>
          </cell>
          <cell r="X37">
            <v>31</v>
          </cell>
          <cell r="Y37">
            <v>21366.999999999996</v>
          </cell>
          <cell r="Z37">
            <v>28</v>
          </cell>
          <cell r="AA37">
            <v>21366.999999999993</v>
          </cell>
          <cell r="AB37">
            <v>31</v>
          </cell>
          <cell r="AC37">
            <v>21366.999999999996</v>
          </cell>
        </row>
      </sheetData>
      <sheetData sheetId="22">
        <row r="37">
          <cell r="N37">
            <v>26.5</v>
          </cell>
          <cell r="P37">
            <v>26.5</v>
          </cell>
          <cell r="Q37">
            <v>21182.333333333332</v>
          </cell>
          <cell r="R37">
            <v>30</v>
          </cell>
          <cell r="S37">
            <v>23206.45161290322</v>
          </cell>
          <cell r="T37">
            <v>30</v>
          </cell>
          <cell r="U37">
            <v>23979.999999999993</v>
          </cell>
          <cell r="V37">
            <v>31</v>
          </cell>
          <cell r="W37">
            <v>23979.999999999993</v>
          </cell>
          <cell r="X37">
            <v>31</v>
          </cell>
          <cell r="Y37">
            <v>23979.999999999993</v>
          </cell>
          <cell r="Z37">
            <v>28</v>
          </cell>
          <cell r="AA37">
            <v>23980</v>
          </cell>
          <cell r="AB37">
            <v>31</v>
          </cell>
          <cell r="AC37">
            <v>23979.999999999993</v>
          </cell>
        </row>
      </sheetData>
      <sheetData sheetId="23">
        <row r="37">
          <cell r="L37">
            <v>31</v>
          </cell>
          <cell r="M37">
            <v>22688.999999999985</v>
          </cell>
          <cell r="N37">
            <v>31</v>
          </cell>
          <cell r="O37">
            <v>22688.999999999985</v>
          </cell>
          <cell r="P37">
            <v>30</v>
          </cell>
          <cell r="Q37">
            <v>22688.999999999989</v>
          </cell>
          <cell r="R37">
            <v>31</v>
          </cell>
          <cell r="S37">
            <v>22688.999999999985</v>
          </cell>
          <cell r="T37">
            <v>30</v>
          </cell>
          <cell r="U37">
            <v>22688.999999999989</v>
          </cell>
          <cell r="V37">
            <v>31</v>
          </cell>
          <cell r="W37">
            <v>22688.999999999985</v>
          </cell>
          <cell r="X37">
            <v>31</v>
          </cell>
          <cell r="Y37">
            <v>22688.999999999985</v>
          </cell>
          <cell r="Z37">
            <v>28</v>
          </cell>
          <cell r="AA37">
            <v>22689</v>
          </cell>
          <cell r="AB37">
            <v>31</v>
          </cell>
          <cell r="AC37">
            <v>22688.999999999985</v>
          </cell>
        </row>
      </sheetData>
      <sheetData sheetId="24">
        <row r="37">
          <cell r="M37">
            <v>23308.999999999985</v>
          </cell>
          <cell r="N37">
            <v>28</v>
          </cell>
          <cell r="P37">
            <v>27</v>
          </cell>
          <cell r="Q37">
            <v>20978.100000000009</v>
          </cell>
          <cell r="R37">
            <v>31</v>
          </cell>
          <cell r="S37">
            <v>23308.999999999985</v>
          </cell>
          <cell r="T37">
            <v>30</v>
          </cell>
          <cell r="U37">
            <v>23309.000000000011</v>
          </cell>
          <cell r="V37">
            <v>31</v>
          </cell>
          <cell r="W37">
            <v>23308.999999999985</v>
          </cell>
          <cell r="X37">
            <v>31</v>
          </cell>
          <cell r="Y37">
            <v>23308.999999999985</v>
          </cell>
          <cell r="Z37">
            <v>28</v>
          </cell>
          <cell r="AA37">
            <v>23309.000000000007</v>
          </cell>
          <cell r="AB37">
            <v>31</v>
          </cell>
          <cell r="AC37">
            <v>23308.999999999985</v>
          </cell>
        </row>
      </sheetData>
      <sheetData sheetId="25">
        <row r="37">
          <cell r="N37">
            <v>31</v>
          </cell>
          <cell r="O37">
            <v>23308.999999999985</v>
          </cell>
          <cell r="P37">
            <v>28</v>
          </cell>
          <cell r="Q37">
            <v>21755.066666666677</v>
          </cell>
          <cell r="R37">
            <v>29.5</v>
          </cell>
          <cell r="S37">
            <v>22181.145161290307</v>
          </cell>
          <cell r="T37">
            <v>30</v>
          </cell>
          <cell r="U37">
            <v>23309.000000000011</v>
          </cell>
          <cell r="V37">
            <v>31</v>
          </cell>
          <cell r="W37">
            <v>23308.999999999985</v>
          </cell>
          <cell r="X37">
            <v>31</v>
          </cell>
          <cell r="Y37">
            <v>23308.999999999985</v>
          </cell>
          <cell r="Z37">
            <v>28</v>
          </cell>
          <cell r="AA37">
            <v>23309.000000000007</v>
          </cell>
          <cell r="AB37">
            <v>31</v>
          </cell>
          <cell r="AC37">
            <v>23308.999999999985</v>
          </cell>
        </row>
      </sheetData>
      <sheetData sheetId="26">
        <row r="37">
          <cell r="L37">
            <v>30.5</v>
          </cell>
          <cell r="N37">
            <v>31</v>
          </cell>
          <cell r="O37">
            <v>24509.000000000004</v>
          </cell>
          <cell r="P37">
            <v>26.5</v>
          </cell>
          <cell r="Q37">
            <v>21649.616666666676</v>
          </cell>
          <cell r="R37">
            <v>27.5</v>
          </cell>
          <cell r="S37">
            <v>21741.854838709685</v>
          </cell>
          <cell r="T37">
            <v>30</v>
          </cell>
          <cell r="U37">
            <v>24509.000000000011</v>
          </cell>
          <cell r="V37">
            <v>31</v>
          </cell>
          <cell r="W37">
            <v>24509.000000000007</v>
          </cell>
          <cell r="X37">
            <v>31</v>
          </cell>
          <cell r="Y37">
            <v>24509.000000000007</v>
          </cell>
          <cell r="Z37">
            <v>28</v>
          </cell>
          <cell r="AA37">
            <v>24508.999999999996</v>
          </cell>
          <cell r="AB37">
            <v>31</v>
          </cell>
          <cell r="AC37">
            <v>24509.000000000007</v>
          </cell>
        </row>
      </sheetData>
      <sheetData sheetId="27">
        <row r="37">
          <cell r="L37">
            <v>29</v>
          </cell>
          <cell r="N37">
            <v>31</v>
          </cell>
          <cell r="P37">
            <v>28</v>
          </cell>
          <cell r="Q37">
            <v>22818.133333333331</v>
          </cell>
          <cell r="R37">
            <v>30</v>
          </cell>
          <cell r="S37">
            <v>23659.354838709667</v>
          </cell>
          <cell r="T37">
            <v>30</v>
          </cell>
          <cell r="U37">
            <v>24448</v>
          </cell>
          <cell r="V37">
            <v>31</v>
          </cell>
          <cell r="W37">
            <v>24447.999999999989</v>
          </cell>
          <cell r="X37">
            <v>31</v>
          </cell>
          <cell r="Y37">
            <v>24447.999999999989</v>
          </cell>
          <cell r="Z37">
            <v>28</v>
          </cell>
          <cell r="AA37">
            <v>24448.000000000011</v>
          </cell>
          <cell r="AB37">
            <v>31</v>
          </cell>
          <cell r="AC37">
            <v>24447.999999999989</v>
          </cell>
        </row>
      </sheetData>
      <sheetData sheetId="28"/>
      <sheetData sheetId="29"/>
      <sheetData sheetId="30"/>
      <sheetData sheetId="31"/>
      <sheetData sheetId="32">
        <row r="37">
          <cell r="L37">
            <v>18</v>
          </cell>
          <cell r="M37">
            <v>14195.612903225803</v>
          </cell>
          <cell r="N37">
            <v>29</v>
          </cell>
        </row>
      </sheetData>
      <sheetData sheetId="33"/>
      <sheetData sheetId="34">
        <row r="37">
          <cell r="L37">
            <v>31</v>
          </cell>
          <cell r="M37">
            <v>25318.000000000011</v>
          </cell>
          <cell r="N37">
            <v>31</v>
          </cell>
          <cell r="O37">
            <v>25318.000000000007</v>
          </cell>
          <cell r="P37">
            <v>28</v>
          </cell>
          <cell r="Q37">
            <v>23630.133333333331</v>
          </cell>
          <cell r="R37">
            <v>29.5</v>
          </cell>
          <cell r="S37">
            <v>24092.935483870977</v>
          </cell>
          <cell r="T37">
            <v>30</v>
          </cell>
          <cell r="U37">
            <v>25318</v>
          </cell>
          <cell r="V37">
            <v>31</v>
          </cell>
          <cell r="W37">
            <v>25318.000000000007</v>
          </cell>
          <cell r="X37">
            <v>31</v>
          </cell>
          <cell r="Y37">
            <v>25318.000000000007</v>
          </cell>
          <cell r="Z37">
            <v>28</v>
          </cell>
          <cell r="AA37">
            <v>25318.000000000007</v>
          </cell>
          <cell r="AB37">
            <v>31</v>
          </cell>
          <cell r="AC37">
            <v>25318.000000000007</v>
          </cell>
        </row>
      </sheetData>
      <sheetData sheetId="35">
        <row r="37">
          <cell r="L37">
            <v>31</v>
          </cell>
          <cell r="M37">
            <v>25318.000000000007</v>
          </cell>
          <cell r="N37">
            <v>31</v>
          </cell>
          <cell r="O37">
            <v>25318.000000000007</v>
          </cell>
          <cell r="P37">
            <v>28</v>
          </cell>
          <cell r="Q37">
            <v>23630.133333333331</v>
          </cell>
          <cell r="R37">
            <v>30.5</v>
          </cell>
          <cell r="S37">
            <v>24909.645161290333</v>
          </cell>
          <cell r="T37">
            <v>30</v>
          </cell>
          <cell r="U37">
            <v>25318</v>
          </cell>
          <cell r="V37">
            <v>31</v>
          </cell>
          <cell r="W37">
            <v>25318.000000000007</v>
          </cell>
          <cell r="X37">
            <v>31</v>
          </cell>
          <cell r="Y37">
            <v>25318.000000000007</v>
          </cell>
          <cell r="Z37">
            <v>28</v>
          </cell>
          <cell r="AA37">
            <v>25318.000000000007</v>
          </cell>
          <cell r="AB37">
            <v>31</v>
          </cell>
          <cell r="AC37">
            <v>25318.000000000007</v>
          </cell>
        </row>
      </sheetData>
      <sheetData sheetId="36">
        <row r="37">
          <cell r="L37">
            <v>30</v>
          </cell>
          <cell r="N37">
            <v>30</v>
          </cell>
          <cell r="P37">
            <v>26.5</v>
          </cell>
          <cell r="Q37">
            <v>22364.233333333334</v>
          </cell>
          <cell r="R37">
            <v>30</v>
          </cell>
          <cell r="S37">
            <v>24501.290322580651</v>
          </cell>
          <cell r="T37">
            <v>30</v>
          </cell>
          <cell r="U37">
            <v>25318</v>
          </cell>
          <cell r="V37">
            <v>31</v>
          </cell>
          <cell r="W37">
            <v>25318.000000000007</v>
          </cell>
          <cell r="X37">
            <v>31</v>
          </cell>
          <cell r="Y37">
            <v>25318.000000000007</v>
          </cell>
          <cell r="Z37">
            <v>28</v>
          </cell>
          <cell r="AA37">
            <v>25318.000000000007</v>
          </cell>
          <cell r="AB37">
            <v>31</v>
          </cell>
          <cell r="AC37">
            <v>25318.000000000007</v>
          </cell>
        </row>
      </sheetData>
      <sheetData sheetId="37">
        <row r="37">
          <cell r="L37">
            <v>30</v>
          </cell>
          <cell r="N37">
            <v>28</v>
          </cell>
          <cell r="P37">
            <v>27.5</v>
          </cell>
          <cell r="Q37">
            <v>24747.250000000007</v>
          </cell>
          <cell r="R37">
            <v>27.5</v>
          </cell>
          <cell r="S37">
            <v>23948.951612903224</v>
          </cell>
          <cell r="T37">
            <v>30</v>
          </cell>
          <cell r="U37">
            <v>26997.000000000011</v>
          </cell>
          <cell r="V37">
            <v>31</v>
          </cell>
          <cell r="W37">
            <v>26997</v>
          </cell>
          <cell r="X37">
            <v>31</v>
          </cell>
          <cell r="Y37">
            <v>26997</v>
          </cell>
          <cell r="Z37">
            <v>28</v>
          </cell>
          <cell r="AA37">
            <v>26997.000000000007</v>
          </cell>
          <cell r="AB37">
            <v>31</v>
          </cell>
          <cell r="AC37">
            <v>26997</v>
          </cell>
        </row>
      </sheetData>
      <sheetData sheetId="38">
        <row r="37">
          <cell r="L37">
            <v>30</v>
          </cell>
          <cell r="N37">
            <v>28.5</v>
          </cell>
          <cell r="P37">
            <v>26.5</v>
          </cell>
          <cell r="Q37">
            <v>24301.383333333324</v>
          </cell>
          <cell r="R37">
            <v>28</v>
          </cell>
          <cell r="S37">
            <v>24848.645161290333</v>
          </cell>
          <cell r="T37">
            <v>30</v>
          </cell>
          <cell r="U37">
            <v>27510.999999999989</v>
          </cell>
          <cell r="V37">
            <v>31</v>
          </cell>
          <cell r="W37">
            <v>27511.000000000011</v>
          </cell>
          <cell r="X37">
            <v>31</v>
          </cell>
          <cell r="Y37">
            <v>27511.000000000011</v>
          </cell>
          <cell r="Z37">
            <v>28</v>
          </cell>
          <cell r="AA37">
            <v>27510.999999999993</v>
          </cell>
          <cell r="AB37">
            <v>31</v>
          </cell>
          <cell r="AC37">
            <v>27511.000000000011</v>
          </cell>
        </row>
      </sheetData>
      <sheetData sheetId="39"/>
      <sheetData sheetId="40"/>
      <sheetData sheetId="41"/>
      <sheetData sheetId="42">
        <row r="37">
          <cell r="L37">
            <v>30.5</v>
          </cell>
          <cell r="M37">
            <v>29699.129032258068</v>
          </cell>
          <cell r="N37">
            <v>29.5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>
        <row r="37">
          <cell r="L37">
            <v>31</v>
          </cell>
          <cell r="M37">
            <v>32383.999999999989</v>
          </cell>
          <cell r="N37">
            <v>31</v>
          </cell>
          <cell r="O37">
            <v>32383.999999999989</v>
          </cell>
          <cell r="P37">
            <v>28</v>
          </cell>
          <cell r="Q37">
            <v>30225.066666666677</v>
          </cell>
          <cell r="R37">
            <v>28</v>
          </cell>
          <cell r="S37">
            <v>29250.064516129023</v>
          </cell>
          <cell r="T37">
            <v>30</v>
          </cell>
          <cell r="U37">
            <v>32384.000000000011</v>
          </cell>
          <cell r="V37">
            <v>31</v>
          </cell>
          <cell r="W37">
            <v>32383.999999999989</v>
          </cell>
          <cell r="X37">
            <v>31</v>
          </cell>
          <cell r="Y37">
            <v>32383.999999999989</v>
          </cell>
          <cell r="Z37">
            <v>28</v>
          </cell>
          <cell r="AA37">
            <v>32383.999999999993</v>
          </cell>
          <cell r="AB37">
            <v>31</v>
          </cell>
          <cell r="AC37">
            <v>32383.999999999989</v>
          </cell>
        </row>
      </sheetData>
      <sheetData sheetId="51"/>
      <sheetData sheetId="52"/>
      <sheetData sheetId="53"/>
      <sheetData sheetId="54"/>
      <sheetData sheetId="55">
        <row r="37">
          <cell r="L37">
            <v>30</v>
          </cell>
          <cell r="M37">
            <v>30737.419354838723</v>
          </cell>
          <cell r="N37">
            <v>31</v>
          </cell>
        </row>
      </sheetData>
      <sheetData sheetId="56"/>
      <sheetData sheetId="57"/>
      <sheetData sheetId="58">
        <row r="37">
          <cell r="P37">
            <v>28</v>
          </cell>
          <cell r="Q37">
            <v>29899.333333333321</v>
          </cell>
          <cell r="R37">
            <v>29</v>
          </cell>
          <cell r="S37">
            <v>29968.225806451606</v>
          </cell>
          <cell r="T37">
            <v>30</v>
          </cell>
          <cell r="U37">
            <v>32034.999999999985</v>
          </cell>
          <cell r="V37">
            <v>31</v>
          </cell>
          <cell r="W37">
            <v>32034.999999999993</v>
          </cell>
          <cell r="X37">
            <v>31</v>
          </cell>
          <cell r="Y37">
            <v>32034.999999999993</v>
          </cell>
          <cell r="Z37">
            <v>28</v>
          </cell>
          <cell r="AA37">
            <v>32034.999999999982</v>
          </cell>
          <cell r="AB37">
            <v>31</v>
          </cell>
          <cell r="AC37">
            <v>32034.999999999993</v>
          </cell>
        </row>
      </sheetData>
      <sheetData sheetId="59">
        <row r="37">
          <cell r="L37">
            <v>31</v>
          </cell>
          <cell r="M37">
            <v>33862.000000000015</v>
          </cell>
          <cell r="N37">
            <v>26.5</v>
          </cell>
          <cell r="P37">
            <v>28</v>
          </cell>
          <cell r="Q37">
            <v>31604.533333333336</v>
          </cell>
          <cell r="R37">
            <v>28.5</v>
          </cell>
          <cell r="S37">
            <v>31131.193548387113</v>
          </cell>
          <cell r="T37">
            <v>30</v>
          </cell>
          <cell r="U37">
            <v>33862</v>
          </cell>
          <cell r="V37">
            <v>31</v>
          </cell>
          <cell r="W37">
            <v>33862.000000000015</v>
          </cell>
          <cell r="X37">
            <v>31</v>
          </cell>
          <cell r="Y37">
            <v>33862.000000000015</v>
          </cell>
          <cell r="Z37">
            <v>28</v>
          </cell>
          <cell r="AA37">
            <v>33861.999999999978</v>
          </cell>
          <cell r="AB37">
            <v>31</v>
          </cell>
          <cell r="AC37">
            <v>33862.000000000015</v>
          </cell>
        </row>
      </sheetData>
      <sheetData sheetId="60"/>
      <sheetData sheetId="61">
        <row r="37">
          <cell r="L37">
            <v>31</v>
          </cell>
          <cell r="M37">
            <v>32034.999999999996</v>
          </cell>
          <cell r="N37">
            <v>31</v>
          </cell>
        </row>
      </sheetData>
      <sheetData sheetId="62">
        <row r="37">
          <cell r="L37">
            <v>31</v>
          </cell>
          <cell r="M37">
            <v>33862.000000000015</v>
          </cell>
          <cell r="P37">
            <v>27</v>
          </cell>
          <cell r="Q37">
            <v>30475.800000000003</v>
          </cell>
          <cell r="R37">
            <v>31</v>
          </cell>
          <cell r="S37">
            <v>33862.000000000015</v>
          </cell>
          <cell r="T37">
            <v>30</v>
          </cell>
          <cell r="U37">
            <v>33862</v>
          </cell>
          <cell r="V37">
            <v>31</v>
          </cell>
          <cell r="W37">
            <v>33862.000000000015</v>
          </cell>
          <cell r="X37">
            <v>31</v>
          </cell>
          <cell r="Y37">
            <v>33862.000000000015</v>
          </cell>
          <cell r="Z37">
            <v>28</v>
          </cell>
          <cell r="AA37">
            <v>33861.999999999978</v>
          </cell>
          <cell r="AB37">
            <v>31</v>
          </cell>
          <cell r="AC37">
            <v>33862.000000000015</v>
          </cell>
        </row>
      </sheetData>
      <sheetData sheetId="63">
        <row r="37">
          <cell r="L37">
            <v>30.5</v>
          </cell>
          <cell r="N37">
            <v>29</v>
          </cell>
          <cell r="P37">
            <v>29.5</v>
          </cell>
          <cell r="Q37">
            <v>31501.083333333318</v>
          </cell>
          <cell r="R37">
            <v>29.5</v>
          </cell>
          <cell r="S37">
            <v>30484.919354838701</v>
          </cell>
          <cell r="T37">
            <v>30</v>
          </cell>
          <cell r="U37">
            <v>32034.999999999985</v>
          </cell>
          <cell r="V37">
            <v>31</v>
          </cell>
          <cell r="W37">
            <v>32034.999999999993</v>
          </cell>
          <cell r="X37">
            <v>31</v>
          </cell>
          <cell r="Y37">
            <v>32034.999999999993</v>
          </cell>
          <cell r="Z37">
            <v>28</v>
          </cell>
          <cell r="AA37">
            <v>32034.999999999982</v>
          </cell>
          <cell r="AB37">
            <v>31</v>
          </cell>
          <cell r="AC37">
            <v>32034.999999999993</v>
          </cell>
        </row>
      </sheetData>
      <sheetData sheetId="64">
        <row r="37">
          <cell r="L37">
            <v>31</v>
          </cell>
          <cell r="M37">
            <v>33883.999999999978</v>
          </cell>
          <cell r="N37">
            <v>31</v>
          </cell>
          <cell r="P37">
            <v>28</v>
          </cell>
          <cell r="Q37">
            <v>31625.066666666677</v>
          </cell>
          <cell r="R37">
            <v>16.5</v>
          </cell>
          <cell r="S37">
            <v>18035.032258064508</v>
          </cell>
          <cell r="T37">
            <v>30</v>
          </cell>
          <cell r="U37">
            <v>33884.000000000007</v>
          </cell>
          <cell r="V37">
            <v>31</v>
          </cell>
          <cell r="W37">
            <v>33883.999999999978</v>
          </cell>
          <cell r="X37">
            <v>31</v>
          </cell>
          <cell r="Y37">
            <v>33883.999999999978</v>
          </cell>
          <cell r="Z37">
            <v>28</v>
          </cell>
          <cell r="AA37">
            <v>33884.000000000022</v>
          </cell>
          <cell r="AB37">
            <v>31</v>
          </cell>
          <cell r="AC37">
            <v>33883.999999999978</v>
          </cell>
        </row>
      </sheetData>
      <sheetData sheetId="65">
        <row r="37">
          <cell r="L37">
            <v>29</v>
          </cell>
          <cell r="N37">
            <v>31</v>
          </cell>
          <cell r="O37">
            <v>33862.000000000015</v>
          </cell>
          <cell r="P37">
            <v>27</v>
          </cell>
          <cell r="Q37">
            <v>30475.800000000003</v>
          </cell>
          <cell r="R37">
            <v>29.5</v>
          </cell>
          <cell r="S37">
            <v>32223.516129032276</v>
          </cell>
          <cell r="T37">
            <v>30</v>
          </cell>
          <cell r="U37">
            <v>33862</v>
          </cell>
          <cell r="V37">
            <v>31</v>
          </cell>
          <cell r="W37">
            <v>33862.000000000015</v>
          </cell>
          <cell r="X37">
            <v>31</v>
          </cell>
          <cell r="Y37">
            <v>33862.000000000015</v>
          </cell>
          <cell r="Z37">
            <v>28</v>
          </cell>
          <cell r="AA37">
            <v>33861.999999999978</v>
          </cell>
          <cell r="AB37">
            <v>31</v>
          </cell>
          <cell r="AC37">
            <v>33862.000000000015</v>
          </cell>
        </row>
      </sheetData>
      <sheetData sheetId="66">
        <row r="37">
          <cell r="L37">
            <v>30</v>
          </cell>
          <cell r="M37">
            <v>31001.6129032258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961B-075F-4C46-872E-153299BCF90A}">
  <sheetPr>
    <pageSetUpPr fitToPage="1"/>
  </sheetPr>
  <dimension ref="A1:AQ1006"/>
  <sheetViews>
    <sheetView tabSelected="1" workbookViewId="0"/>
  </sheetViews>
  <sheetFormatPr defaultColWidth="14.453125" defaultRowHeight="15" customHeight="1" x14ac:dyDescent="0.35"/>
  <cols>
    <col min="1" max="1" width="5.81640625" customWidth="1"/>
    <col min="2" max="2" width="24.26953125" customWidth="1"/>
    <col min="3" max="3" width="29" customWidth="1"/>
    <col min="4" max="4" width="11.26953125" customWidth="1"/>
    <col min="5" max="5" width="9.26953125" customWidth="1"/>
    <col min="6" max="6" width="11.26953125" hidden="1" customWidth="1"/>
    <col min="7" max="7" width="12" hidden="1" customWidth="1"/>
    <col min="8" max="8" width="12.26953125" hidden="1" customWidth="1"/>
    <col min="9" max="9" width="12" hidden="1" customWidth="1"/>
    <col min="10" max="11" width="8.7265625" hidden="1" customWidth="1"/>
    <col min="12" max="12" width="9.08984375" hidden="1" customWidth="1"/>
    <col min="13" max="13" width="11.08984375" hidden="1" customWidth="1"/>
    <col min="14" max="15" width="9.08984375" hidden="1" customWidth="1"/>
    <col min="16" max="17" width="9.08984375" customWidth="1"/>
    <col min="18" max="19" width="9.08984375" hidden="1" customWidth="1"/>
    <col min="20" max="20" width="9.81640625" hidden="1" customWidth="1"/>
    <col min="21" max="21" width="9.08984375" hidden="1" customWidth="1"/>
    <col min="22" max="22" width="9.81640625" hidden="1" customWidth="1"/>
    <col min="23" max="23" width="9.08984375" hidden="1" customWidth="1"/>
    <col min="24" max="24" width="9.81640625" hidden="1" customWidth="1"/>
    <col min="25" max="25" width="9.08984375" hidden="1" customWidth="1"/>
    <col min="26" max="26" width="9.81640625" hidden="1" customWidth="1"/>
    <col min="27" max="27" width="9.08984375" hidden="1" customWidth="1"/>
    <col min="28" max="28" width="9.81640625" hidden="1" customWidth="1"/>
    <col min="29" max="29" width="9.08984375" hidden="1" customWidth="1"/>
    <col min="30" max="30" width="9.08984375" customWidth="1"/>
    <col min="31" max="31" width="10.453125" customWidth="1"/>
    <col min="32" max="32" width="12.08984375" customWidth="1"/>
    <col min="33" max="33" width="11.08984375" customWidth="1"/>
    <col min="34" max="34" width="8.7265625" customWidth="1"/>
    <col min="35" max="35" width="9" customWidth="1"/>
    <col min="36" max="36" width="9.54296875" customWidth="1"/>
    <col min="37" max="37" width="11.08984375" customWidth="1"/>
    <col min="38" max="38" width="11.81640625" customWidth="1"/>
    <col min="39" max="39" width="11.453125" customWidth="1"/>
    <col min="40" max="41" width="7.54296875" customWidth="1"/>
    <col min="42" max="42" width="8.453125" customWidth="1"/>
    <col min="43" max="43" width="12.81640625" customWidth="1"/>
  </cols>
  <sheetData>
    <row r="1" spans="1:43" ht="16.5" customHeight="1" thickBot="1" x14ac:dyDescent="0.4">
      <c r="A1" s="1"/>
      <c r="B1" s="1"/>
      <c r="C1" s="1"/>
      <c r="D1" s="1"/>
      <c r="E1" s="1"/>
      <c r="F1" s="2">
        <v>45748</v>
      </c>
      <c r="G1" s="3"/>
      <c r="H1" s="2">
        <v>45778</v>
      </c>
      <c r="I1" s="3"/>
      <c r="J1" s="2">
        <v>45809</v>
      </c>
      <c r="K1" s="3"/>
      <c r="L1" s="2">
        <v>45839</v>
      </c>
      <c r="M1" s="3"/>
      <c r="N1" s="2">
        <v>45870</v>
      </c>
      <c r="O1" s="3"/>
      <c r="P1" s="2">
        <v>45901</v>
      </c>
      <c r="Q1" s="3"/>
      <c r="R1" s="2">
        <v>45931</v>
      </c>
      <c r="S1" s="3"/>
      <c r="T1" s="2">
        <v>45962</v>
      </c>
      <c r="U1" s="3"/>
      <c r="V1" s="2">
        <v>45992</v>
      </c>
      <c r="W1" s="3"/>
      <c r="X1" s="2">
        <v>46023</v>
      </c>
      <c r="Y1" s="3"/>
      <c r="Z1" s="2">
        <v>46054</v>
      </c>
      <c r="AA1" s="3"/>
      <c r="AB1" s="2">
        <v>46082</v>
      </c>
      <c r="AC1" s="3"/>
      <c r="AD1" s="4" t="s">
        <v>0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ht="126.5" thickBot="1" x14ac:dyDescent="0.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6" t="s">
        <v>7</v>
      </c>
      <c r="L2" s="6" t="s">
        <v>6</v>
      </c>
      <c r="M2" s="6" t="s">
        <v>7</v>
      </c>
      <c r="N2" s="6" t="s">
        <v>6</v>
      </c>
      <c r="O2" s="7" t="s">
        <v>7</v>
      </c>
      <c r="P2" s="6" t="s">
        <v>6</v>
      </c>
      <c r="Q2" s="6" t="s">
        <v>7</v>
      </c>
      <c r="R2" s="6" t="s">
        <v>6</v>
      </c>
      <c r="S2" s="6" t="s">
        <v>7</v>
      </c>
      <c r="T2" s="6" t="s">
        <v>6</v>
      </c>
      <c r="U2" s="6" t="s">
        <v>7</v>
      </c>
      <c r="V2" s="6" t="s">
        <v>6</v>
      </c>
      <c r="W2" s="6" t="s">
        <v>7</v>
      </c>
      <c r="X2" s="6" t="s">
        <v>6</v>
      </c>
      <c r="Y2" s="6" t="s">
        <v>7</v>
      </c>
      <c r="Z2" s="6" t="s">
        <v>6</v>
      </c>
      <c r="AA2" s="6" t="s">
        <v>7</v>
      </c>
      <c r="AB2" s="6" t="s">
        <v>6</v>
      </c>
      <c r="AC2" s="6" t="s">
        <v>7</v>
      </c>
      <c r="AD2" s="8" t="s">
        <v>8</v>
      </c>
      <c r="AE2" s="9"/>
      <c r="AF2" s="10" t="str">
        <f>'[1]PROJECT MASTER FILE - COPY'!B16</f>
        <v>HLL Malappuram</v>
      </c>
      <c r="AG2" s="11" t="str">
        <f>'[1]PROJECT MASTER FILE - COPY'!B29</f>
        <v>Power Grid Corporation of India Limited - Yelahanka, Bangalore</v>
      </c>
      <c r="AH2" s="11" t="str">
        <f>'[1]PROJECT MASTER FILE - COPY'!B42</f>
        <v>Cochin Shipyard Limited - Andaman</v>
      </c>
      <c r="AI2" s="11" t="str">
        <f>'[1]PROJECT MASTER FILE - COPY'!B55</f>
        <v>IOCL - Panipat</v>
      </c>
      <c r="AJ2" s="11" t="str">
        <f>'[1]PROJECT MASTER FILE - COPY'!B68</f>
        <v>HLL Cotton Hill, Trivandrum</v>
      </c>
      <c r="AK2" s="11" t="str">
        <f>'[1]PROJECT MASTER FILE - COPY'!B81</f>
        <v>Swasthya-An innovative behaviour change programme for Aneamia in women of reproductive age</v>
      </c>
      <c r="AL2" s="11" t="str">
        <f>'[1]PROJECT MASTER FILE - COPY'!B94</f>
        <v>Counselling support for transgender individuals-pre and post surgery and non surgical pathways in gender transition</v>
      </c>
      <c r="AM2" s="11" t="str">
        <f>'[1]PROJECT MASTER FILE - COPY'!B107</f>
        <v>Inclusive community mental health initiative in Wayanad district</v>
      </c>
      <c r="AN2" s="11" t="str">
        <f>'[1]PROJECT MASTER FILE - COPY'!B120</f>
        <v>My City</v>
      </c>
      <c r="AO2" s="11" t="str">
        <f>'[1]PROJECT MASTER FILE - COPY'!B133</f>
        <v>Exploring the correlation and Diagnostic potential of Menstrual Blood</v>
      </c>
      <c r="AP2" s="11" t="str">
        <f>'[1]PROJECT MASTER FILE - COPY'!B3</f>
        <v>HLL Maharashtra</v>
      </c>
      <c r="AQ2" s="11" t="s">
        <v>9</v>
      </c>
    </row>
    <row r="3" spans="1:43" ht="16.5" customHeight="1" thickBot="1" x14ac:dyDescent="0.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2">
        <v>45809</v>
      </c>
      <c r="AE3" s="13">
        <f>K31</f>
        <v>593057</v>
      </c>
      <c r="AF3" s="14">
        <f>'[1]PROJECT MASTER FILE - COPY'!N16</f>
        <v>5006</v>
      </c>
      <c r="AG3" s="14">
        <f>'[1]PROJECT MASTER FILE - COPY'!N29</f>
        <v>8409</v>
      </c>
      <c r="AH3" s="14">
        <f>'[1]PROJECT MASTER FILE - COPY'!N42</f>
        <v>6250</v>
      </c>
      <c r="AI3" s="14">
        <f>'[1]PROJECT MASTER FILE - COPY'!N55</f>
        <v>0</v>
      </c>
      <c r="AJ3" s="14">
        <f>'[1]PROJECT MASTER FILE - COPY'!N68</f>
        <v>0</v>
      </c>
      <c r="AK3" s="14">
        <f>'[1]PROJECT MASTER FILE - COPY'!N81</f>
        <v>5555</v>
      </c>
      <c r="AL3" s="14">
        <f>'[1]PROJECT MASTER FILE - COPY'!N94</f>
        <v>5876</v>
      </c>
      <c r="AM3" s="15">
        <f>'[1]PROJECT MASTER FILE - COPY'!N107</f>
        <v>10714</v>
      </c>
      <c r="AN3" s="11">
        <v>0</v>
      </c>
      <c r="AO3" s="15">
        <f>'[1]PROJECT MASTER FILE - COPY'!N133</f>
        <v>0</v>
      </c>
      <c r="AP3" s="11">
        <f>'[1]PROJECT MASTER FILE - COPY'!N3</f>
        <v>0</v>
      </c>
      <c r="AQ3" s="16">
        <f t="shared" ref="AQ3:AQ5" si="0">AE3-AF3-AG3-AH3-AI3-AJ3-AK3-AL3-AM3-AN3-AO3-AP3</f>
        <v>551247</v>
      </c>
    </row>
    <row r="4" spans="1:43" ht="16.5" customHeight="1" thickBot="1" x14ac:dyDescent="0.4">
      <c r="A4" s="6">
        <v>1</v>
      </c>
      <c r="B4" s="7" t="s">
        <v>10</v>
      </c>
      <c r="C4" s="6" t="s">
        <v>11</v>
      </c>
      <c r="D4" s="6" t="s">
        <v>12</v>
      </c>
      <c r="E4" s="6">
        <v>28130</v>
      </c>
      <c r="F4" s="6">
        <v>27.5</v>
      </c>
      <c r="G4" s="6">
        <v>24644.583333333332</v>
      </c>
      <c r="H4" s="6">
        <v>24.5</v>
      </c>
      <c r="I4" s="6">
        <v>21247.822580645163</v>
      </c>
      <c r="J4" s="6">
        <v>29</v>
      </c>
      <c r="K4" s="6">
        <v>27197</v>
      </c>
      <c r="L4" s="6">
        <f>[1]HEKSY!L37</f>
        <v>28.5</v>
      </c>
      <c r="M4" s="6">
        <v>25867</v>
      </c>
      <c r="N4" s="6">
        <f>[1]HEKSY!N37</f>
        <v>29.5</v>
      </c>
      <c r="O4" s="7">
        <v>26774</v>
      </c>
      <c r="P4" s="6">
        <f>[1]HEKSY!P37</f>
        <v>26</v>
      </c>
      <c r="Q4" s="6">
        <f>[1]HEKSY!Q37</f>
        <v>24379.333333333339</v>
      </c>
      <c r="R4" s="6">
        <f>[1]HEKSY!R37</f>
        <v>28</v>
      </c>
      <c r="S4" s="6">
        <f>[1]HEKSY!S37</f>
        <v>25407.74193548386</v>
      </c>
      <c r="T4" s="6">
        <f>[1]HEKSY!T37</f>
        <v>30</v>
      </c>
      <c r="U4" s="6">
        <f>[1]HEKSY!U37</f>
        <v>28130.000000000011</v>
      </c>
      <c r="V4" s="6">
        <f>[1]HEKSY!V37</f>
        <v>31</v>
      </c>
      <c r="W4" s="6">
        <f>[1]HEKSY!W37</f>
        <v>28129.999999999985</v>
      </c>
      <c r="X4" s="6">
        <f>[1]HEKSY!X37</f>
        <v>31</v>
      </c>
      <c r="Y4" s="6">
        <f>[1]HEKSY!Y37</f>
        <v>28129.999999999985</v>
      </c>
      <c r="Z4" s="6">
        <f>[1]HEKSY!Z37</f>
        <v>28</v>
      </c>
      <c r="AA4" s="6">
        <f>[1]HEKSY!AA37</f>
        <v>28130.000000000015</v>
      </c>
      <c r="AB4" s="6">
        <f>[1]HEKSY!AB37</f>
        <v>31</v>
      </c>
      <c r="AC4" s="6">
        <f>[1]HEKSY!AC37</f>
        <v>28129.999999999985</v>
      </c>
      <c r="AD4" s="17">
        <v>45839</v>
      </c>
      <c r="AE4" s="18">
        <f>M31</f>
        <v>690762.77419354836</v>
      </c>
      <c r="AF4" s="19">
        <f>'[1]PROJECT MASTER FILE - COPY'!O16</f>
        <v>5007</v>
      </c>
      <c r="AG4" s="19">
        <f>'[1]PROJECT MASTER FILE - COPY'!O29</f>
        <v>8409</v>
      </c>
      <c r="AH4" s="19">
        <f>'[1]PROJECT MASTER FILE - COPY'!O42</f>
        <v>6250</v>
      </c>
      <c r="AI4" s="19">
        <f>'[1]PROJECT MASTER FILE - COPY'!O55</f>
        <v>0</v>
      </c>
      <c r="AJ4" s="19">
        <f>'[1]PROJECT MASTER FILE - COPY'!O68</f>
        <v>0</v>
      </c>
      <c r="AK4" s="19">
        <f>'[1]PROJECT MASTER FILE - COPY'!O81</f>
        <v>5556</v>
      </c>
      <c r="AL4" s="19">
        <f>'[1]PROJECT MASTER FILE - COPY'!O94</f>
        <v>5877</v>
      </c>
      <c r="AM4" s="16">
        <f>'[1]PROJECT MASTER FILE - COPY'!O107</f>
        <v>10714</v>
      </c>
      <c r="AN4" s="11">
        <v>0</v>
      </c>
      <c r="AO4" s="16">
        <f>'[1]PROJECT MASTER FILE - COPY'!O133</f>
        <v>0</v>
      </c>
      <c r="AP4" s="11">
        <f>'[1]PROJECT MASTER FILE - COPY'!O3</f>
        <v>0</v>
      </c>
      <c r="AQ4" s="16">
        <f t="shared" si="0"/>
        <v>648949.77419354836</v>
      </c>
    </row>
    <row r="5" spans="1:43" ht="16.5" customHeight="1" thickBot="1" x14ac:dyDescent="0.4">
      <c r="A5" s="6">
        <v>2</v>
      </c>
      <c r="B5" s="7" t="s">
        <v>13</v>
      </c>
      <c r="C5" s="6" t="s">
        <v>11</v>
      </c>
      <c r="D5" s="6" t="s">
        <v>12</v>
      </c>
      <c r="E5" s="6">
        <v>27598</v>
      </c>
      <c r="F5" s="6">
        <v>30</v>
      </c>
      <c r="G5" s="6">
        <v>26885</v>
      </c>
      <c r="H5" s="6">
        <v>30</v>
      </c>
      <c r="I5" s="6">
        <v>26017.741935483871</v>
      </c>
      <c r="J5" s="6">
        <v>30</v>
      </c>
      <c r="K5" s="6">
        <v>27598</v>
      </c>
      <c r="L5" s="6">
        <v>31</v>
      </c>
      <c r="M5" s="6">
        <f>[1]MANJUSHA!M37</f>
        <v>27597.999999999996</v>
      </c>
      <c r="N5" s="6">
        <f>[1]MANJUSHA!N37</f>
        <v>31</v>
      </c>
      <c r="O5" s="7">
        <f>[1]MANJUSHA!O37</f>
        <v>27597.999999999996</v>
      </c>
      <c r="P5" s="6">
        <f>[1]MANJUSHA!P37</f>
        <v>26</v>
      </c>
      <c r="Q5" s="6">
        <f>[1]MANJUSHA!Q37</f>
        <v>23918.266666666666</v>
      </c>
      <c r="R5" s="6">
        <f>[1]MANJUSHA!R37</f>
        <v>26</v>
      </c>
      <c r="S5" s="6">
        <f>[1]MANJUSHA!S37</f>
        <v>23146.709677419352</v>
      </c>
      <c r="T5" s="6">
        <f>[1]MANJUSHA!T37</f>
        <v>30</v>
      </c>
      <c r="U5" s="6">
        <f>[1]MANJUSHA!U37</f>
        <v>27598.000000000004</v>
      </c>
      <c r="V5" s="6">
        <f>[1]MANJUSHA!V37</f>
        <v>31</v>
      </c>
      <c r="W5" s="6">
        <f>[1]MANJUSHA!W37</f>
        <v>27597.999999999996</v>
      </c>
      <c r="X5" s="6">
        <f>[1]MANJUSHA!X37</f>
        <v>31</v>
      </c>
      <c r="Y5" s="6">
        <f>[1]MANJUSHA!Y37</f>
        <v>27597.999999999996</v>
      </c>
      <c r="Z5" s="6">
        <f>[1]MANJUSHA!Z37</f>
        <v>28</v>
      </c>
      <c r="AA5" s="6">
        <f>[1]MANJUSHA!AA37</f>
        <v>27598.000000000015</v>
      </c>
      <c r="AB5" s="6">
        <f>[1]MANJUSHA!AB37</f>
        <v>31</v>
      </c>
      <c r="AC5" s="6">
        <f>[1]MANJUSHA!AC37</f>
        <v>27597.999999999996</v>
      </c>
      <c r="AD5" s="17">
        <v>45870</v>
      </c>
      <c r="AE5" s="20">
        <f>O31</f>
        <v>632239</v>
      </c>
      <c r="AF5" s="19">
        <f>'[1]PROJECT MASTER FILE - COPY'!P16</f>
        <v>5007</v>
      </c>
      <c r="AG5" s="19">
        <f>'[1]PROJECT MASTER FILE - COPY'!P29</f>
        <v>8409</v>
      </c>
      <c r="AH5" s="19">
        <f>'[1]PROJECT MASTER FILE - COPY'!P42</f>
        <v>6250</v>
      </c>
      <c r="AI5" s="19">
        <f>'[1]PROJECT MASTER FILE - COPY'!P55</f>
        <v>0</v>
      </c>
      <c r="AJ5" s="19">
        <f>'[1]PROJECT MASTER FILE - COPY'!P68</f>
        <v>0</v>
      </c>
      <c r="AK5" s="19">
        <f>'[1]PROJECT MASTER FILE - COPY'!P81</f>
        <v>5556</v>
      </c>
      <c r="AL5" s="19">
        <f>P94</f>
        <v>0</v>
      </c>
      <c r="AM5" s="16">
        <f>'[1]PROJECT MASTER FILE - COPY'!P107</f>
        <v>10714</v>
      </c>
      <c r="AN5" s="11">
        <v>0</v>
      </c>
      <c r="AO5" s="16">
        <f>'[1]PROJECT MASTER FILE - COPY'!P133</f>
        <v>0</v>
      </c>
      <c r="AP5" s="11">
        <f>'[1]PROJECT MASTER FILE - COPY'!P3</f>
        <v>0</v>
      </c>
      <c r="AQ5" s="16">
        <f t="shared" si="0"/>
        <v>596303</v>
      </c>
    </row>
    <row r="6" spans="1:43" ht="16.5" customHeight="1" thickBot="1" x14ac:dyDescent="0.4">
      <c r="A6" s="6">
        <v>3</v>
      </c>
      <c r="B6" s="7" t="s">
        <v>14</v>
      </c>
      <c r="C6" s="6" t="s">
        <v>15</v>
      </c>
      <c r="D6" s="6" t="s">
        <v>12</v>
      </c>
      <c r="E6" s="6">
        <v>23309</v>
      </c>
      <c r="F6" s="6">
        <v>30</v>
      </c>
      <c r="G6" s="6">
        <v>23309</v>
      </c>
      <c r="H6" s="6">
        <v>31</v>
      </c>
      <c r="I6" s="6">
        <v>23309</v>
      </c>
      <c r="J6" s="6">
        <v>30</v>
      </c>
      <c r="K6" s="6">
        <f t="shared" ref="K6:K7" si="1">(E6/30)*J6</f>
        <v>23309</v>
      </c>
      <c r="L6" s="6">
        <v>31</v>
      </c>
      <c r="M6" s="6">
        <f>'[1]ASHITHA VINS'!M37</f>
        <v>23308.999999999985</v>
      </c>
      <c r="N6" s="6">
        <f>'[1]ASHITHA VINS'!N37</f>
        <v>28</v>
      </c>
      <c r="O6" s="7">
        <v>21059</v>
      </c>
      <c r="P6" s="6">
        <f>'[1]ASHITHA VINS'!P37</f>
        <v>27</v>
      </c>
      <c r="Q6" s="6">
        <f>'[1]ASHITHA VINS'!Q37</f>
        <v>20978.100000000009</v>
      </c>
      <c r="R6" s="6">
        <f>'[1]ASHITHA VINS'!R37</f>
        <v>31</v>
      </c>
      <c r="S6" s="6">
        <f>'[1]ASHITHA VINS'!S37</f>
        <v>23308.999999999985</v>
      </c>
      <c r="T6" s="6">
        <f>'[1]ASHITHA VINS'!T37</f>
        <v>30</v>
      </c>
      <c r="U6" s="6">
        <f>'[1]ASHITHA VINS'!U37</f>
        <v>23309.000000000011</v>
      </c>
      <c r="V6" s="6">
        <f>'[1]ASHITHA VINS'!V37</f>
        <v>31</v>
      </c>
      <c r="W6" s="6">
        <f>'[1]ASHITHA VINS'!W37</f>
        <v>23308.999999999985</v>
      </c>
      <c r="X6" s="6">
        <f>'[1]ASHITHA VINS'!X37</f>
        <v>31</v>
      </c>
      <c r="Y6" s="6">
        <f>'[1]ASHITHA VINS'!Y37</f>
        <v>23308.999999999985</v>
      </c>
      <c r="Z6" s="6">
        <f>'[1]ASHITHA VINS'!Z37</f>
        <v>28</v>
      </c>
      <c r="AA6" s="6">
        <f>'[1]ASHITHA VINS'!AA37</f>
        <v>23309.000000000007</v>
      </c>
      <c r="AB6" s="6">
        <f>'[1]ASHITHA VINS'!AB37</f>
        <v>31</v>
      </c>
      <c r="AC6" s="6">
        <f>'[1]ASHITHA VINS'!AC37</f>
        <v>23308.999999999985</v>
      </c>
      <c r="AD6" s="17">
        <v>45901</v>
      </c>
      <c r="AE6" s="21"/>
      <c r="AF6" s="19"/>
      <c r="AG6" s="19"/>
      <c r="AH6" s="19"/>
      <c r="AI6" s="19"/>
      <c r="AJ6" s="19"/>
      <c r="AK6" s="19"/>
      <c r="AL6" s="19"/>
      <c r="AM6" s="19"/>
      <c r="AN6" s="11">
        <f>'[1]PROJECT MASTER FILE - COPY'!B123</f>
        <v>0</v>
      </c>
      <c r="AO6" s="19"/>
      <c r="AP6" s="11">
        <f>'[1]PROJECT MASTER FILE - COPY'!B6</f>
        <v>0</v>
      </c>
      <c r="AQ6" s="19"/>
    </row>
    <row r="7" spans="1:43" ht="16.5" customHeight="1" thickBot="1" x14ac:dyDescent="0.4">
      <c r="A7" s="6">
        <v>4</v>
      </c>
      <c r="B7" s="7" t="s">
        <v>16</v>
      </c>
      <c r="C7" s="6" t="s">
        <v>15</v>
      </c>
      <c r="D7" s="6" t="s">
        <v>12</v>
      </c>
      <c r="E7" s="6">
        <v>23309</v>
      </c>
      <c r="F7" s="6">
        <v>30</v>
      </c>
      <c r="G7" s="6">
        <v>23309</v>
      </c>
      <c r="H7" s="6">
        <v>31</v>
      </c>
      <c r="I7" s="6">
        <v>23309</v>
      </c>
      <c r="J7" s="6">
        <v>30</v>
      </c>
      <c r="K7" s="6">
        <f t="shared" si="1"/>
        <v>23309</v>
      </c>
      <c r="L7" s="6">
        <v>30</v>
      </c>
      <c r="M7" s="6">
        <v>22560</v>
      </c>
      <c r="N7" s="6">
        <f>'[1]SAVITHA Y'!N37</f>
        <v>31</v>
      </c>
      <c r="O7" s="7">
        <f>'[1]SAVITHA Y'!O37</f>
        <v>23308.999999999985</v>
      </c>
      <c r="P7" s="6">
        <f>'[1]SAVITHA Y'!P37</f>
        <v>28</v>
      </c>
      <c r="Q7" s="6">
        <f>'[1]SAVITHA Y'!Q37</f>
        <v>21755.066666666677</v>
      </c>
      <c r="R7" s="6">
        <f>'[1]SAVITHA Y'!R37</f>
        <v>29.5</v>
      </c>
      <c r="S7" s="6">
        <f>'[1]SAVITHA Y'!S37</f>
        <v>22181.145161290307</v>
      </c>
      <c r="T7" s="6">
        <f>'[1]SAVITHA Y'!T37</f>
        <v>30</v>
      </c>
      <c r="U7" s="6">
        <f>'[1]SAVITHA Y'!U37</f>
        <v>23309.000000000011</v>
      </c>
      <c r="V7" s="6">
        <f>'[1]SAVITHA Y'!V37</f>
        <v>31</v>
      </c>
      <c r="W7" s="6">
        <f>'[1]SAVITHA Y'!W37</f>
        <v>23308.999999999985</v>
      </c>
      <c r="X7" s="6">
        <f>'[1]SAVITHA Y'!X37</f>
        <v>31</v>
      </c>
      <c r="Y7" s="6">
        <f>'[1]SAVITHA Y'!Y37</f>
        <v>23308.999999999985</v>
      </c>
      <c r="Z7" s="6">
        <f>'[1]SAVITHA Y'!Z37</f>
        <v>28</v>
      </c>
      <c r="AA7" s="6">
        <f>'[1]SAVITHA Y'!AA37</f>
        <v>23309.000000000007</v>
      </c>
      <c r="AB7" s="6">
        <f>'[1]SAVITHA Y'!AB37</f>
        <v>31</v>
      </c>
      <c r="AC7" s="6">
        <f>'[1]SAVITHA Y'!AC37</f>
        <v>23308.999999999985</v>
      </c>
      <c r="AD7" s="17">
        <v>45931</v>
      </c>
      <c r="AE7" s="21"/>
      <c r="AF7" s="19"/>
      <c r="AG7" s="19"/>
      <c r="AH7" s="19"/>
      <c r="AI7" s="19"/>
      <c r="AJ7" s="19"/>
      <c r="AK7" s="19"/>
      <c r="AL7" s="19"/>
      <c r="AM7" s="19"/>
      <c r="AN7" s="11">
        <f>'[1]PROJECT MASTER FILE - COPY'!B124</f>
        <v>0</v>
      </c>
      <c r="AO7" s="19"/>
      <c r="AP7" s="11">
        <f>'[1]PROJECT MASTER FILE - COPY'!B7</f>
        <v>0</v>
      </c>
      <c r="AQ7" s="19"/>
    </row>
    <row r="8" spans="1:43" ht="16.5" customHeight="1" thickBot="1" x14ac:dyDescent="0.4">
      <c r="A8" s="6">
        <v>5</v>
      </c>
      <c r="B8" s="7" t="s">
        <v>17</v>
      </c>
      <c r="C8" s="6" t="s">
        <v>18</v>
      </c>
      <c r="D8" s="6" t="s">
        <v>12</v>
      </c>
      <c r="E8" s="6">
        <v>23980</v>
      </c>
      <c r="F8" s="6">
        <v>28.5</v>
      </c>
      <c r="G8" s="6">
        <v>21554.55</v>
      </c>
      <c r="H8" s="6">
        <v>30</v>
      </c>
      <c r="I8" s="6">
        <v>21957.096774193549</v>
      </c>
      <c r="J8" s="6">
        <v>28.5</v>
      </c>
      <c r="K8" s="6">
        <v>22783</v>
      </c>
      <c r="L8" s="6">
        <v>28.5</v>
      </c>
      <c r="M8" s="6">
        <v>22052</v>
      </c>
      <c r="N8" s="6">
        <f>'[1]SOUMYA S K'!N37</f>
        <v>26.5</v>
      </c>
      <c r="O8" s="7">
        <v>20510</v>
      </c>
      <c r="P8" s="6">
        <f>'[1]SOUMYA S K'!P37</f>
        <v>26.5</v>
      </c>
      <c r="Q8" s="6">
        <f>'[1]SOUMYA S K'!Q37</f>
        <v>21182.333333333332</v>
      </c>
      <c r="R8" s="6">
        <f>'[1]SOUMYA S K'!R37</f>
        <v>30</v>
      </c>
      <c r="S8" s="6">
        <f>'[1]SOUMYA S K'!S37</f>
        <v>23206.45161290322</v>
      </c>
      <c r="T8" s="6">
        <f>'[1]SOUMYA S K'!T37</f>
        <v>30</v>
      </c>
      <c r="U8" s="6">
        <f>'[1]SOUMYA S K'!U37</f>
        <v>23979.999999999993</v>
      </c>
      <c r="V8" s="6">
        <f>'[1]SOUMYA S K'!V37</f>
        <v>31</v>
      </c>
      <c r="W8" s="6">
        <f>'[1]SOUMYA S K'!W37</f>
        <v>23979.999999999993</v>
      </c>
      <c r="X8" s="6">
        <f>'[1]SOUMYA S K'!X37</f>
        <v>31</v>
      </c>
      <c r="Y8" s="6">
        <f>'[1]SOUMYA S K'!Y37</f>
        <v>23979.999999999993</v>
      </c>
      <c r="Z8" s="6">
        <f>'[1]SOUMYA S K'!Z37</f>
        <v>28</v>
      </c>
      <c r="AA8" s="6">
        <f>'[1]SOUMYA S K'!AA37</f>
        <v>23980</v>
      </c>
      <c r="AB8" s="6">
        <f>'[1]SOUMYA S K'!AB37</f>
        <v>31</v>
      </c>
      <c r="AC8" s="6">
        <f>'[1]SOUMYA S K'!AC37</f>
        <v>23979.999999999993</v>
      </c>
      <c r="AD8" s="17">
        <v>45962</v>
      </c>
      <c r="AE8" s="21"/>
      <c r="AF8" s="19"/>
      <c r="AG8" s="19"/>
      <c r="AH8" s="19"/>
      <c r="AI8" s="19"/>
      <c r="AJ8" s="19"/>
      <c r="AK8" s="19"/>
      <c r="AL8" s="19"/>
      <c r="AM8" s="19"/>
      <c r="AN8" s="11">
        <f>'[1]PROJECT MASTER FILE - COPY'!B125</f>
        <v>0</v>
      </c>
      <c r="AO8" s="19"/>
      <c r="AP8" s="11">
        <f>'[1]PROJECT MASTER FILE - COPY'!B8</f>
        <v>0</v>
      </c>
      <c r="AQ8" s="19"/>
    </row>
    <row r="9" spans="1:43" ht="16.5" customHeight="1" thickBot="1" x14ac:dyDescent="0.4">
      <c r="A9" s="6">
        <v>6</v>
      </c>
      <c r="B9" s="7" t="s">
        <v>19</v>
      </c>
      <c r="C9" s="6" t="s">
        <v>20</v>
      </c>
      <c r="D9" s="6" t="s">
        <v>12</v>
      </c>
      <c r="E9" s="6">
        <v>24448</v>
      </c>
      <c r="F9" s="6">
        <v>28</v>
      </c>
      <c r="G9" s="6">
        <v>19942.533333333333</v>
      </c>
      <c r="H9" s="6">
        <v>29</v>
      </c>
      <c r="I9" s="6">
        <v>19988.483870967742</v>
      </c>
      <c r="J9" s="6">
        <v>27</v>
      </c>
      <c r="K9" s="6">
        <v>22065</v>
      </c>
      <c r="L9" s="6">
        <f>'[1]GAYATHRI VIJAY'!L37</f>
        <v>29</v>
      </c>
      <c r="M9" s="6">
        <v>22871</v>
      </c>
      <c r="N9" s="6">
        <f>'[1]GAYATHRI VIJAY'!N37</f>
        <v>31</v>
      </c>
      <c r="O9" s="7">
        <v>24509</v>
      </c>
      <c r="P9" s="6">
        <f>'[1]GAYATHRI VIJAY'!P37</f>
        <v>28</v>
      </c>
      <c r="Q9" s="6">
        <f>'[1]GAYATHRI VIJAY'!Q37</f>
        <v>22818.133333333331</v>
      </c>
      <c r="R9" s="6">
        <f>'[1]GAYATHRI VIJAY'!R37</f>
        <v>30</v>
      </c>
      <c r="S9" s="6">
        <f>'[1]GAYATHRI VIJAY'!S37</f>
        <v>23659.354838709667</v>
      </c>
      <c r="T9" s="6">
        <f>'[1]GAYATHRI VIJAY'!T37</f>
        <v>30</v>
      </c>
      <c r="U9" s="6">
        <f>'[1]GAYATHRI VIJAY'!U37</f>
        <v>24448</v>
      </c>
      <c r="V9" s="6">
        <f>'[1]GAYATHRI VIJAY'!V37</f>
        <v>31</v>
      </c>
      <c r="W9" s="6">
        <f>'[1]GAYATHRI VIJAY'!W37</f>
        <v>24447.999999999989</v>
      </c>
      <c r="X9" s="6">
        <f>'[1]GAYATHRI VIJAY'!X37</f>
        <v>31</v>
      </c>
      <c r="Y9" s="6">
        <f>'[1]GAYATHRI VIJAY'!Y37</f>
        <v>24447.999999999989</v>
      </c>
      <c r="Z9" s="6">
        <f>'[1]GAYATHRI VIJAY'!Z37</f>
        <v>28</v>
      </c>
      <c r="AA9" s="6">
        <f>'[1]GAYATHRI VIJAY'!AA37</f>
        <v>24448.000000000011</v>
      </c>
      <c r="AB9" s="6">
        <f>'[1]GAYATHRI VIJAY'!AB37</f>
        <v>31</v>
      </c>
      <c r="AC9" s="6">
        <f>'[1]GAYATHRI VIJAY'!AC37</f>
        <v>24447.999999999989</v>
      </c>
      <c r="AD9" s="17">
        <v>45992</v>
      </c>
      <c r="AE9" s="21"/>
      <c r="AF9" s="19"/>
      <c r="AG9" s="19"/>
      <c r="AH9" s="19"/>
      <c r="AI9" s="19"/>
      <c r="AJ9" s="19"/>
      <c r="AK9" s="19"/>
      <c r="AL9" s="19"/>
      <c r="AM9" s="19"/>
      <c r="AN9" s="11">
        <f>'[1]PROJECT MASTER FILE - COPY'!B126</f>
        <v>0</v>
      </c>
      <c r="AO9" s="19"/>
      <c r="AP9" s="11">
        <f>'[1]PROJECT MASTER FILE - COPY'!B9</f>
        <v>0</v>
      </c>
      <c r="AQ9" s="19"/>
    </row>
    <row r="10" spans="1:43" ht="16.5" customHeight="1" thickBot="1" x14ac:dyDescent="0.4">
      <c r="A10" s="6">
        <v>7</v>
      </c>
      <c r="B10" s="7" t="s">
        <v>21</v>
      </c>
      <c r="C10" s="6" t="s">
        <v>22</v>
      </c>
      <c r="D10" s="6" t="s">
        <v>12</v>
      </c>
      <c r="E10" s="6">
        <v>22689</v>
      </c>
      <c r="F10" s="6">
        <v>30</v>
      </c>
      <c r="G10" s="6">
        <v>22689</v>
      </c>
      <c r="H10" s="6">
        <v>31</v>
      </c>
      <c r="I10" s="6">
        <v>22689</v>
      </c>
      <c r="J10" s="6">
        <v>30</v>
      </c>
      <c r="K10" s="6">
        <f t="shared" ref="K10:K12" si="2">(E10/30)*J10</f>
        <v>22689</v>
      </c>
      <c r="L10" s="6">
        <f>'[1]VIGNESH KUMAR'!L37</f>
        <v>31</v>
      </c>
      <c r="M10" s="6">
        <f>'[1]VIGNESH KUMAR'!M37</f>
        <v>22688.999999999985</v>
      </c>
      <c r="N10" s="6">
        <f>'[1]VIGNESH KUMAR'!N37</f>
        <v>31</v>
      </c>
      <c r="O10" s="7">
        <f>'[1]VIGNESH KUMAR'!O37</f>
        <v>22688.999999999985</v>
      </c>
      <c r="P10" s="6">
        <f>'[1]VIGNESH KUMAR'!P37</f>
        <v>30</v>
      </c>
      <c r="Q10" s="6">
        <f>'[1]VIGNESH KUMAR'!Q37</f>
        <v>22688.999999999989</v>
      </c>
      <c r="R10" s="6">
        <f>'[1]VIGNESH KUMAR'!R37</f>
        <v>31</v>
      </c>
      <c r="S10" s="6">
        <f>'[1]VIGNESH KUMAR'!S37</f>
        <v>22688.999999999985</v>
      </c>
      <c r="T10" s="6">
        <f>'[1]VIGNESH KUMAR'!T37</f>
        <v>30</v>
      </c>
      <c r="U10" s="6">
        <f>'[1]VIGNESH KUMAR'!U37</f>
        <v>22688.999999999989</v>
      </c>
      <c r="V10" s="6">
        <f>'[1]VIGNESH KUMAR'!V37</f>
        <v>31</v>
      </c>
      <c r="W10" s="6">
        <f>'[1]VIGNESH KUMAR'!W37</f>
        <v>22688.999999999985</v>
      </c>
      <c r="X10" s="6">
        <f>'[1]VIGNESH KUMAR'!X37</f>
        <v>31</v>
      </c>
      <c r="Y10" s="6">
        <f>'[1]VIGNESH KUMAR'!Y37</f>
        <v>22688.999999999985</v>
      </c>
      <c r="Z10" s="6">
        <f>'[1]VIGNESH KUMAR'!Z37</f>
        <v>28</v>
      </c>
      <c r="AA10" s="6">
        <f>'[1]VIGNESH KUMAR'!AA37</f>
        <v>22689</v>
      </c>
      <c r="AB10" s="6">
        <f>'[1]VIGNESH KUMAR'!AB37</f>
        <v>31</v>
      </c>
      <c r="AC10" s="6">
        <f>'[1]VIGNESH KUMAR'!AC37</f>
        <v>22688.999999999985</v>
      </c>
      <c r="AD10" s="17">
        <v>46023</v>
      </c>
      <c r="AE10" s="21"/>
      <c r="AF10" s="19"/>
      <c r="AG10" s="19"/>
      <c r="AH10" s="19"/>
      <c r="AI10" s="19"/>
      <c r="AJ10" s="19"/>
      <c r="AK10" s="19"/>
      <c r="AL10" s="19"/>
      <c r="AM10" s="19"/>
      <c r="AN10" s="11">
        <f>'[1]PROJECT MASTER FILE - COPY'!B127</f>
        <v>0</v>
      </c>
      <c r="AO10" s="19"/>
      <c r="AP10" s="11">
        <f>'[1]PROJECT MASTER FILE - COPY'!B10</f>
        <v>0</v>
      </c>
      <c r="AQ10" s="19"/>
    </row>
    <row r="11" spans="1:43" ht="16.5" customHeight="1" thickBot="1" x14ac:dyDescent="0.4">
      <c r="A11" s="6">
        <v>8</v>
      </c>
      <c r="B11" s="7" t="s">
        <v>23</v>
      </c>
      <c r="C11" s="6" t="s">
        <v>24</v>
      </c>
      <c r="D11" s="6" t="s">
        <v>12</v>
      </c>
      <c r="E11" s="6">
        <v>25318</v>
      </c>
      <c r="F11" s="6">
        <v>30</v>
      </c>
      <c r="G11" s="6">
        <v>25318</v>
      </c>
      <c r="H11" s="6">
        <v>31</v>
      </c>
      <c r="I11" s="6">
        <v>25318</v>
      </c>
      <c r="J11" s="6">
        <v>30</v>
      </c>
      <c r="K11" s="6">
        <f t="shared" si="2"/>
        <v>25318</v>
      </c>
      <c r="L11" s="6">
        <f>'[1]SAIDALI SAFAR'!L37</f>
        <v>30</v>
      </c>
      <c r="M11" s="6">
        <v>24503</v>
      </c>
      <c r="N11" s="6">
        <f>'[1]SAIDALI SAFAR'!N37</f>
        <v>30</v>
      </c>
      <c r="O11" s="7">
        <v>24503</v>
      </c>
      <c r="P11" s="6">
        <f>'[1]SAIDALI SAFAR'!P37</f>
        <v>26.5</v>
      </c>
      <c r="Q11" s="6">
        <f>'[1]SAIDALI SAFAR'!Q37</f>
        <v>22364.233333333334</v>
      </c>
      <c r="R11" s="6">
        <f>'[1]SAIDALI SAFAR'!R37</f>
        <v>30</v>
      </c>
      <c r="S11" s="6">
        <f>'[1]SAIDALI SAFAR'!S37</f>
        <v>24501.290322580651</v>
      </c>
      <c r="T11" s="6">
        <f>'[1]SAIDALI SAFAR'!T37</f>
        <v>30</v>
      </c>
      <c r="U11" s="6">
        <f>'[1]SAIDALI SAFAR'!U37</f>
        <v>25318</v>
      </c>
      <c r="V11" s="6">
        <f>'[1]SAIDALI SAFAR'!V37</f>
        <v>31</v>
      </c>
      <c r="W11" s="6">
        <f>'[1]SAIDALI SAFAR'!W37</f>
        <v>25318.000000000007</v>
      </c>
      <c r="X11" s="6">
        <f>'[1]SAIDALI SAFAR'!X37</f>
        <v>31</v>
      </c>
      <c r="Y11" s="6">
        <f>'[1]SAIDALI SAFAR'!Y37</f>
        <v>25318.000000000007</v>
      </c>
      <c r="Z11" s="6">
        <f>'[1]SAIDALI SAFAR'!Z37</f>
        <v>28</v>
      </c>
      <c r="AA11" s="6">
        <f>'[1]SAIDALI SAFAR'!AA37</f>
        <v>25318.000000000007</v>
      </c>
      <c r="AB11" s="6">
        <f>'[1]SAIDALI SAFAR'!AB37</f>
        <v>31</v>
      </c>
      <c r="AC11" s="6">
        <f>'[1]SAIDALI SAFAR'!AC37</f>
        <v>25318.000000000007</v>
      </c>
      <c r="AD11" s="17">
        <v>46054</v>
      </c>
      <c r="AE11" s="21"/>
      <c r="AF11" s="19"/>
      <c r="AG11" s="19"/>
      <c r="AH11" s="19"/>
      <c r="AI11" s="19"/>
      <c r="AJ11" s="19"/>
      <c r="AK11" s="19"/>
      <c r="AL11" s="19"/>
      <c r="AM11" s="19"/>
      <c r="AN11" s="11">
        <f>'[1]PROJECT MASTER FILE - COPY'!B128</f>
        <v>0</v>
      </c>
      <c r="AO11" s="19"/>
      <c r="AP11" s="11">
        <f>'[1]PROJECT MASTER FILE - COPY'!B11</f>
        <v>0</v>
      </c>
      <c r="AQ11" s="19"/>
    </row>
    <row r="12" spans="1:43" ht="16.5" customHeight="1" thickBot="1" x14ac:dyDescent="0.4">
      <c r="A12" s="6">
        <v>9</v>
      </c>
      <c r="B12" s="7" t="s">
        <v>25</v>
      </c>
      <c r="C12" s="6" t="s">
        <v>20</v>
      </c>
      <c r="D12" s="6" t="s">
        <v>12</v>
      </c>
      <c r="E12" s="6">
        <v>27511</v>
      </c>
      <c r="F12" s="6">
        <v>28</v>
      </c>
      <c r="G12" s="6">
        <v>24290.933333333334</v>
      </c>
      <c r="H12" s="6">
        <v>30.5</v>
      </c>
      <c r="I12" s="6">
        <v>25606.22580645161</v>
      </c>
      <c r="J12" s="6">
        <v>30</v>
      </c>
      <c r="K12" s="6">
        <f t="shared" si="2"/>
        <v>27511</v>
      </c>
      <c r="L12" s="6">
        <f>'[1]DHANYA B L'!L37</f>
        <v>30</v>
      </c>
      <c r="M12" s="6">
        <v>26622</v>
      </c>
      <c r="N12" s="6">
        <f>'[1]DHANYA B L'!N37</f>
        <v>28.5</v>
      </c>
      <c r="O12" s="7">
        <v>25296</v>
      </c>
      <c r="P12" s="6">
        <f>'[1]DHANYA B L'!P37</f>
        <v>26.5</v>
      </c>
      <c r="Q12" s="6">
        <f>'[1]DHANYA B L'!Q37</f>
        <v>24301.383333333324</v>
      </c>
      <c r="R12" s="6">
        <f>'[1]DHANYA B L'!R37</f>
        <v>28</v>
      </c>
      <c r="S12" s="6">
        <f>'[1]DHANYA B L'!S37</f>
        <v>24848.645161290333</v>
      </c>
      <c r="T12" s="6">
        <f>'[1]DHANYA B L'!T37</f>
        <v>30</v>
      </c>
      <c r="U12" s="6">
        <f>'[1]DHANYA B L'!U37</f>
        <v>27510.999999999989</v>
      </c>
      <c r="V12" s="6">
        <f>'[1]DHANYA B L'!V37</f>
        <v>31</v>
      </c>
      <c r="W12" s="6">
        <f>'[1]DHANYA B L'!W37</f>
        <v>27511.000000000011</v>
      </c>
      <c r="X12" s="6">
        <f>'[1]DHANYA B L'!X37</f>
        <v>31</v>
      </c>
      <c r="Y12" s="6">
        <f>'[1]DHANYA B L'!Y37</f>
        <v>27511.000000000011</v>
      </c>
      <c r="Z12" s="6">
        <f>'[1]DHANYA B L'!Z37</f>
        <v>28</v>
      </c>
      <c r="AA12" s="6">
        <f>'[1]DHANYA B L'!AA37</f>
        <v>27510.999999999993</v>
      </c>
      <c r="AB12" s="6">
        <f>'[1]DHANYA B L'!AB37</f>
        <v>31</v>
      </c>
      <c r="AC12" s="6">
        <f>'[1]DHANYA B L'!AC37</f>
        <v>27511.000000000011</v>
      </c>
      <c r="AD12" s="17">
        <v>46082</v>
      </c>
      <c r="AE12" s="21"/>
      <c r="AF12" s="19"/>
      <c r="AG12" s="19"/>
      <c r="AH12" s="19"/>
      <c r="AI12" s="19"/>
      <c r="AJ12" s="19"/>
      <c r="AK12" s="19"/>
      <c r="AL12" s="19"/>
      <c r="AM12" s="19"/>
      <c r="AN12" s="11">
        <f>'[1]PROJECT MASTER FILE - COPY'!B129</f>
        <v>0</v>
      </c>
      <c r="AO12" s="19"/>
      <c r="AP12" s="11">
        <f>'[1]PROJECT MASTER FILE - COPY'!B12</f>
        <v>0</v>
      </c>
      <c r="AQ12" s="19"/>
    </row>
    <row r="13" spans="1:43" ht="16.5" customHeight="1" thickBot="1" x14ac:dyDescent="0.4">
      <c r="A13" s="6">
        <v>10</v>
      </c>
      <c r="B13" s="7" t="s">
        <v>26</v>
      </c>
      <c r="C13" s="6" t="s">
        <v>27</v>
      </c>
      <c r="D13" s="6" t="s">
        <v>12</v>
      </c>
      <c r="E13" s="6">
        <v>26997</v>
      </c>
      <c r="F13" s="6">
        <v>30</v>
      </c>
      <c r="G13" s="6">
        <v>25802</v>
      </c>
      <c r="H13" s="6">
        <v>29.5</v>
      </c>
      <c r="I13" s="6">
        <v>24553.516129032261</v>
      </c>
      <c r="J13" s="6">
        <v>25.5</v>
      </c>
      <c r="K13" s="6">
        <v>22958</v>
      </c>
      <c r="L13" s="6">
        <f>'[1]TITU S JAYAN'!L37</f>
        <v>30</v>
      </c>
      <c r="M13" s="6">
        <v>26128</v>
      </c>
      <c r="N13" s="6">
        <f>'[1]TITU S JAYAN'!N37</f>
        <v>28</v>
      </c>
      <c r="O13" s="7">
        <v>24388</v>
      </c>
      <c r="P13" s="6">
        <f>'[1]TITU S JAYAN'!P37</f>
        <v>27.5</v>
      </c>
      <c r="Q13" s="6">
        <f>'[1]TITU S JAYAN'!Q37</f>
        <v>24747.250000000007</v>
      </c>
      <c r="R13" s="6">
        <f>'[1]TITU S JAYAN'!R37</f>
        <v>27.5</v>
      </c>
      <c r="S13" s="6">
        <f>'[1]TITU S JAYAN'!S37</f>
        <v>23948.951612903224</v>
      </c>
      <c r="T13" s="6">
        <f>'[1]TITU S JAYAN'!T37</f>
        <v>30</v>
      </c>
      <c r="U13" s="6">
        <f>'[1]TITU S JAYAN'!U37</f>
        <v>26997.000000000011</v>
      </c>
      <c r="V13" s="6">
        <f>'[1]TITU S JAYAN'!V37</f>
        <v>31</v>
      </c>
      <c r="W13" s="6">
        <f>'[1]TITU S JAYAN'!W37</f>
        <v>26997</v>
      </c>
      <c r="X13" s="6">
        <f>'[1]TITU S JAYAN'!X37</f>
        <v>31</v>
      </c>
      <c r="Y13" s="6">
        <f>'[1]TITU S JAYAN'!Y37</f>
        <v>26997</v>
      </c>
      <c r="Z13" s="6">
        <f>'[1]TITU S JAYAN'!Z37</f>
        <v>28</v>
      </c>
      <c r="AA13" s="6">
        <f>'[1]TITU S JAYAN'!AA37</f>
        <v>26997.000000000007</v>
      </c>
      <c r="AB13" s="6">
        <f>'[1]TITU S JAYAN'!AB37</f>
        <v>31</v>
      </c>
      <c r="AC13" s="6">
        <f>'[1]TITU S JAYAN'!AC37</f>
        <v>26997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1">
        <f>'[1]PROJECT MASTER FILE - COPY'!B130</f>
        <v>0</v>
      </c>
      <c r="AO13" s="1"/>
      <c r="AP13" s="11">
        <f>'[1]PROJECT MASTER FILE - COPY'!B13</f>
        <v>0</v>
      </c>
      <c r="AQ13" s="1"/>
    </row>
    <row r="14" spans="1:43" ht="13.5" customHeight="1" thickBot="1" x14ac:dyDescent="0.4">
      <c r="A14" s="6">
        <v>11</v>
      </c>
      <c r="B14" s="7" t="s">
        <v>28</v>
      </c>
      <c r="C14" s="6" t="s">
        <v>29</v>
      </c>
      <c r="D14" s="6" t="s">
        <v>12</v>
      </c>
      <c r="E14" s="6">
        <v>33862</v>
      </c>
      <c r="F14" s="6">
        <v>28</v>
      </c>
      <c r="G14" s="6">
        <v>29899.333333333332</v>
      </c>
      <c r="H14" s="6">
        <v>30.5</v>
      </c>
      <c r="I14" s="6">
        <v>31518.306451612905</v>
      </c>
      <c r="J14" s="6">
        <v>30</v>
      </c>
      <c r="K14" s="6">
        <f t="shared" ref="K14:K16" si="3">(E14/30)*J14</f>
        <v>33862</v>
      </c>
      <c r="L14" s="6">
        <f>'[1]DEVIKA PRASAD'!L37</f>
        <v>31</v>
      </c>
      <c r="M14" s="6">
        <f>'[1]DEVIKA PRASAD'!M37</f>
        <v>33862.000000000015</v>
      </c>
      <c r="N14" s="6">
        <f>'[1]DEVIKA PRASAD'!N37</f>
        <v>26.5</v>
      </c>
      <c r="O14" s="7">
        <v>28957</v>
      </c>
      <c r="P14" s="6">
        <f>'[1]DEVIKA PRASAD'!P37</f>
        <v>28</v>
      </c>
      <c r="Q14" s="6">
        <f>'[1]DEVIKA PRASAD'!Q37</f>
        <v>31604.533333333336</v>
      </c>
      <c r="R14" s="6">
        <f>'[1]DEVIKA PRASAD'!R37</f>
        <v>28.5</v>
      </c>
      <c r="S14" s="6">
        <f>'[1]DEVIKA PRASAD'!S37</f>
        <v>31131.193548387113</v>
      </c>
      <c r="T14" s="6">
        <f>'[1]DEVIKA PRASAD'!T37</f>
        <v>30</v>
      </c>
      <c r="U14" s="6">
        <f>'[1]DEVIKA PRASAD'!U37</f>
        <v>33862</v>
      </c>
      <c r="V14" s="6">
        <f>'[1]DEVIKA PRASAD'!V37</f>
        <v>31</v>
      </c>
      <c r="W14" s="6">
        <f>'[1]DEVIKA PRASAD'!W37</f>
        <v>33862.000000000015</v>
      </c>
      <c r="X14" s="6">
        <f>'[1]DEVIKA PRASAD'!X37</f>
        <v>31</v>
      </c>
      <c r="Y14" s="6">
        <f>'[1]DEVIKA PRASAD'!Y37</f>
        <v>33862.000000000015</v>
      </c>
      <c r="Z14" s="6">
        <f>'[1]DEVIKA PRASAD'!Z37</f>
        <v>28</v>
      </c>
      <c r="AA14" s="6">
        <f>'[1]DEVIKA PRASAD'!AA37</f>
        <v>33861.999999999978</v>
      </c>
      <c r="AB14" s="6">
        <f>'[1]DEVIKA PRASAD'!AB37</f>
        <v>31</v>
      </c>
      <c r="AC14" s="6">
        <f>'[1]DEVIKA PRASAD'!AC37</f>
        <v>33862.000000000015</v>
      </c>
      <c r="AD14" s="8" t="s">
        <v>8</v>
      </c>
      <c r="AE14" s="9"/>
      <c r="AF14" s="10" t="str">
        <f t="shared" ref="AF14:AQ14" si="4">AF2</f>
        <v>HLL Malappuram</v>
      </c>
      <c r="AG14" s="10" t="str">
        <f t="shared" si="4"/>
        <v>Power Grid Corporation of India Limited - Yelahanka, Bangalore</v>
      </c>
      <c r="AH14" s="10" t="str">
        <f t="shared" si="4"/>
        <v>Cochin Shipyard Limited - Andaman</v>
      </c>
      <c r="AI14" s="10" t="str">
        <f t="shared" si="4"/>
        <v>IOCL - Panipat</v>
      </c>
      <c r="AJ14" s="10" t="str">
        <f t="shared" si="4"/>
        <v>HLL Cotton Hill, Trivandrum</v>
      </c>
      <c r="AK14" s="10" t="str">
        <f t="shared" si="4"/>
        <v>Swasthya-An innovative behaviour change programme for Aneamia in women of reproductive age</v>
      </c>
      <c r="AL14" s="10" t="str">
        <f t="shared" si="4"/>
        <v>Counselling support for transgender individuals-pre and post surgery and non surgical pathways in gender transition</v>
      </c>
      <c r="AM14" s="10" t="str">
        <f t="shared" si="4"/>
        <v>Inclusive community mental health initiative in Wayanad district</v>
      </c>
      <c r="AN14" s="10" t="str">
        <f t="shared" si="4"/>
        <v>My City</v>
      </c>
      <c r="AO14" s="10" t="str">
        <f t="shared" si="4"/>
        <v>Exploring the correlation and Diagnostic potential of Menstrual Blood</v>
      </c>
      <c r="AP14" s="10" t="str">
        <f t="shared" si="4"/>
        <v>HLL Maharashtra</v>
      </c>
      <c r="AQ14" s="10" t="str">
        <f t="shared" si="4"/>
        <v>LSGB</v>
      </c>
    </row>
    <row r="15" spans="1:43" ht="16.5" hidden="1" customHeight="1" x14ac:dyDescent="0.35">
      <c r="A15" s="6">
        <v>12</v>
      </c>
      <c r="B15" s="6" t="s">
        <v>30</v>
      </c>
      <c r="C15" s="6" t="s">
        <v>29</v>
      </c>
      <c r="D15" s="6" t="s">
        <v>12</v>
      </c>
      <c r="E15" s="6">
        <v>33862</v>
      </c>
      <c r="F15" s="6">
        <v>30</v>
      </c>
      <c r="G15" s="6">
        <v>32034.999999999996</v>
      </c>
      <c r="H15" s="6">
        <v>31</v>
      </c>
      <c r="I15" s="6">
        <v>32035.000000000004</v>
      </c>
      <c r="J15" s="6">
        <v>30</v>
      </c>
      <c r="K15" s="6">
        <f t="shared" si="3"/>
        <v>33862</v>
      </c>
      <c r="L15" s="6">
        <f>'[1]K ANAKHA SOMAN'!L37</f>
        <v>31</v>
      </c>
      <c r="M15" s="6">
        <f>'[1]K ANAKHA SOMAN'!M37</f>
        <v>33862.000000000015</v>
      </c>
      <c r="N15" s="6">
        <v>0</v>
      </c>
      <c r="O15" s="7">
        <v>0</v>
      </c>
      <c r="P15" s="6">
        <f>'[1]K ANAKHA SOMAN'!P37</f>
        <v>27</v>
      </c>
      <c r="Q15" s="6">
        <f>'[1]K ANAKHA SOMAN'!Q37</f>
        <v>30475.800000000003</v>
      </c>
      <c r="R15" s="6">
        <f>'[1]K ANAKHA SOMAN'!R37</f>
        <v>31</v>
      </c>
      <c r="S15" s="6">
        <f>'[1]K ANAKHA SOMAN'!S37</f>
        <v>33862.000000000015</v>
      </c>
      <c r="T15" s="6">
        <f>'[1]K ANAKHA SOMAN'!T37</f>
        <v>30</v>
      </c>
      <c r="U15" s="6">
        <f>'[1]K ANAKHA SOMAN'!U37</f>
        <v>33862</v>
      </c>
      <c r="V15" s="6">
        <f>'[1]K ANAKHA SOMAN'!V37</f>
        <v>31</v>
      </c>
      <c r="W15" s="6">
        <f>'[1]K ANAKHA SOMAN'!W37</f>
        <v>33862.000000000015</v>
      </c>
      <c r="X15" s="6">
        <f>'[1]K ANAKHA SOMAN'!X37</f>
        <v>31</v>
      </c>
      <c r="Y15" s="6">
        <f>'[1]K ANAKHA SOMAN'!Y37</f>
        <v>33862.000000000015</v>
      </c>
      <c r="Z15" s="6">
        <f>'[1]K ANAKHA SOMAN'!Z37</f>
        <v>28</v>
      </c>
      <c r="AA15" s="6">
        <f>'[1]K ANAKHA SOMAN'!AA37</f>
        <v>33861.999999999978</v>
      </c>
      <c r="AB15" s="6">
        <f>'[1]K ANAKHA SOMAN'!AB37</f>
        <v>31</v>
      </c>
      <c r="AC15" s="6">
        <f>'[1]K ANAKHA SOMAN'!AC37</f>
        <v>33862.000000000015</v>
      </c>
      <c r="AD15" s="17">
        <v>45839</v>
      </c>
      <c r="AE15" s="18"/>
      <c r="AF15" s="19">
        <f>AF4/AE4*100</f>
        <v>0.72485087313015262</v>
      </c>
      <c r="AG15" s="19">
        <f t="shared" ref="AG15:AP15" si="5">$AG4/AE4/100</f>
        <v>1.2173499085583089E-4</v>
      </c>
      <c r="AH15" s="19">
        <f t="shared" si="5"/>
        <v>1.6794487717195924E-2</v>
      </c>
      <c r="AI15" s="19">
        <f t="shared" si="5"/>
        <v>0.01</v>
      </c>
      <c r="AJ15" s="19">
        <f t="shared" si="5"/>
        <v>1.34544E-2</v>
      </c>
      <c r="AK15" s="19" t="e">
        <f t="shared" si="5"/>
        <v>#DIV/0!</v>
      </c>
      <c r="AL15" s="19" t="e">
        <f t="shared" si="5"/>
        <v>#DIV/0!</v>
      </c>
      <c r="AM15" s="19">
        <f t="shared" si="5"/>
        <v>1.5134989200863931E-2</v>
      </c>
      <c r="AN15" s="19">
        <f t="shared" si="5"/>
        <v>1.4308320571720266E-2</v>
      </c>
      <c r="AO15" s="19">
        <f t="shared" si="5"/>
        <v>7.8486092962479007E-3</v>
      </c>
      <c r="AP15" s="19" t="e">
        <f t="shared" si="5"/>
        <v>#DIV/0!</v>
      </c>
      <c r="AQ15" s="19">
        <f>AQ4/AE4*100</f>
        <v>93.946836517237656</v>
      </c>
    </row>
    <row r="16" spans="1:43" thickBot="1" x14ac:dyDescent="0.4">
      <c r="A16" s="6">
        <v>13</v>
      </c>
      <c r="B16" s="7" t="s">
        <v>31</v>
      </c>
      <c r="C16" s="6" t="s">
        <v>29</v>
      </c>
      <c r="D16" s="6" t="s">
        <v>12</v>
      </c>
      <c r="E16" s="6">
        <v>32035</v>
      </c>
      <c r="F16" s="6">
        <v>27.5</v>
      </c>
      <c r="G16" s="6">
        <v>29365.416666666664</v>
      </c>
      <c r="H16" s="6">
        <v>31</v>
      </c>
      <c r="I16" s="6">
        <v>32035.000000000004</v>
      </c>
      <c r="J16" s="6">
        <v>30</v>
      </c>
      <c r="K16" s="6">
        <f t="shared" si="3"/>
        <v>32034.999999999996</v>
      </c>
      <c r="L16" s="6">
        <f>'[1]JITHIN DOMNIC'!L37</f>
        <v>30.5</v>
      </c>
      <c r="M16" s="6">
        <v>31521</v>
      </c>
      <c r="N16" s="6">
        <f>'[1]JITHIN DOMNIC'!N37</f>
        <v>29</v>
      </c>
      <c r="O16" s="7">
        <v>31213</v>
      </c>
      <c r="P16" s="6">
        <f>'[1]JITHIN DOMNIC'!P37</f>
        <v>29.5</v>
      </c>
      <c r="Q16" s="6">
        <f>'[1]JITHIN DOMNIC'!Q37</f>
        <v>31501.083333333318</v>
      </c>
      <c r="R16" s="6">
        <f>'[1]JITHIN DOMNIC'!R37</f>
        <v>29.5</v>
      </c>
      <c r="S16" s="6">
        <f>'[1]JITHIN DOMNIC'!S37</f>
        <v>30484.919354838701</v>
      </c>
      <c r="T16" s="6">
        <f>'[1]JITHIN DOMNIC'!T37</f>
        <v>30</v>
      </c>
      <c r="U16" s="6">
        <f>'[1]JITHIN DOMNIC'!U37</f>
        <v>32034.999999999985</v>
      </c>
      <c r="V16" s="6">
        <f>'[1]JITHIN DOMNIC'!V37</f>
        <v>31</v>
      </c>
      <c r="W16" s="6">
        <f>'[1]JITHIN DOMNIC'!W37</f>
        <v>32034.999999999993</v>
      </c>
      <c r="X16" s="6">
        <f>'[1]JITHIN DOMNIC'!X37</f>
        <v>31</v>
      </c>
      <c r="Y16" s="6">
        <f>'[1]JITHIN DOMNIC'!Y37</f>
        <v>32034.999999999993</v>
      </c>
      <c r="Z16" s="6">
        <f>'[1]JITHIN DOMNIC'!Z37</f>
        <v>28</v>
      </c>
      <c r="AA16" s="6">
        <f>'[1]JITHIN DOMNIC'!AA37</f>
        <v>32034.999999999982</v>
      </c>
      <c r="AB16" s="6">
        <f>'[1]JITHIN DOMNIC'!AB37</f>
        <v>31</v>
      </c>
      <c r="AC16" s="6">
        <f>'[1]JITHIN DOMNIC'!AC37</f>
        <v>32034.999999999993</v>
      </c>
      <c r="AD16" s="17">
        <v>45870</v>
      </c>
      <c r="AE16" s="21"/>
      <c r="AF16" s="19"/>
      <c r="AG16" s="19"/>
      <c r="AH16" s="19"/>
      <c r="AI16" s="19"/>
      <c r="AJ16" s="19"/>
      <c r="AK16" s="19"/>
      <c r="AL16" s="19"/>
      <c r="AM16" s="19"/>
      <c r="AN16" s="11"/>
      <c r="AO16" s="19"/>
      <c r="AP16" s="11"/>
      <c r="AQ16" s="19"/>
    </row>
    <row r="17" spans="1:43" ht="16.5" customHeight="1" thickBot="1" x14ac:dyDescent="0.4">
      <c r="A17" s="6">
        <v>14</v>
      </c>
      <c r="B17" s="7" t="s">
        <v>32</v>
      </c>
      <c r="C17" s="6" t="s">
        <v>33</v>
      </c>
      <c r="D17" s="6" t="s">
        <v>12</v>
      </c>
      <c r="E17" s="6">
        <v>33884</v>
      </c>
      <c r="F17" s="6">
        <v>30</v>
      </c>
      <c r="G17" s="6">
        <v>32034.999999999996</v>
      </c>
      <c r="H17" s="6">
        <v>31</v>
      </c>
      <c r="I17" s="6">
        <v>32035.000000000004</v>
      </c>
      <c r="J17" s="6">
        <v>30</v>
      </c>
      <c r="K17" s="6">
        <v>33862</v>
      </c>
      <c r="L17" s="6">
        <f>'[1]DIVYA VINOD'!L37</f>
        <v>31</v>
      </c>
      <c r="M17" s="6">
        <f>'[1]DIVYA VINOD'!M37</f>
        <v>33883.999999999978</v>
      </c>
      <c r="N17" s="6">
        <f>'[1]DIVYA VINOD'!N37</f>
        <v>31</v>
      </c>
      <c r="O17" s="7">
        <v>33862</v>
      </c>
      <c r="P17" s="6">
        <f>'[1]DIVYA VINOD'!P37</f>
        <v>28</v>
      </c>
      <c r="Q17" s="6">
        <f>'[1]DIVYA VINOD'!Q37</f>
        <v>31625.066666666677</v>
      </c>
      <c r="R17" s="6">
        <f>'[1]DIVYA VINOD'!R37</f>
        <v>16.5</v>
      </c>
      <c r="S17" s="6">
        <f>'[1]DIVYA VINOD'!S37</f>
        <v>18035.032258064508</v>
      </c>
      <c r="T17" s="6">
        <f>'[1]DIVYA VINOD'!T37</f>
        <v>30</v>
      </c>
      <c r="U17" s="6">
        <f>'[1]DIVYA VINOD'!U37</f>
        <v>33884.000000000007</v>
      </c>
      <c r="V17" s="6">
        <f>'[1]DIVYA VINOD'!V37</f>
        <v>31</v>
      </c>
      <c r="W17" s="6">
        <f>'[1]DIVYA VINOD'!W37</f>
        <v>33883.999999999978</v>
      </c>
      <c r="X17" s="6">
        <f>'[1]DIVYA VINOD'!X37</f>
        <v>31</v>
      </c>
      <c r="Y17" s="6">
        <f>'[1]DIVYA VINOD'!Y37</f>
        <v>33883.999999999978</v>
      </c>
      <c r="Z17" s="6">
        <f>'[1]DIVYA VINOD'!Z37</f>
        <v>28</v>
      </c>
      <c r="AA17" s="6">
        <f>'[1]DIVYA VINOD'!AA37</f>
        <v>33884.000000000022</v>
      </c>
      <c r="AB17" s="6">
        <f>'[1]DIVYA VINOD'!AB37</f>
        <v>31</v>
      </c>
      <c r="AC17" s="6">
        <f>'[1]DIVYA VINOD'!AC37</f>
        <v>33883.999999999978</v>
      </c>
      <c r="AD17" s="17">
        <v>45901</v>
      </c>
      <c r="AE17" s="21"/>
      <c r="AF17" s="19"/>
      <c r="AG17" s="19"/>
      <c r="AH17" s="19"/>
      <c r="AI17" s="19"/>
      <c r="AJ17" s="19"/>
      <c r="AK17" s="19"/>
      <c r="AL17" s="19"/>
      <c r="AM17" s="19"/>
      <c r="AN17" s="11">
        <f>'[1]PROJECT MASTER FILE - COPY'!B134</f>
        <v>0</v>
      </c>
      <c r="AO17" s="19"/>
      <c r="AP17" s="11">
        <f>'[1]PROJECT MASTER FILE - COPY'!B17</f>
        <v>0</v>
      </c>
      <c r="AQ17" s="19"/>
    </row>
    <row r="18" spans="1:43" ht="16.5" customHeight="1" thickBot="1" x14ac:dyDescent="0.4">
      <c r="A18" s="6">
        <v>15</v>
      </c>
      <c r="B18" s="7" t="s">
        <v>34</v>
      </c>
      <c r="C18" s="6" t="s">
        <v>33</v>
      </c>
      <c r="D18" s="6" t="s">
        <v>12</v>
      </c>
      <c r="E18" s="6">
        <v>33862</v>
      </c>
      <c r="F18" s="6">
        <v>29</v>
      </c>
      <c r="G18" s="6">
        <v>30967.166666666664</v>
      </c>
      <c r="H18" s="6">
        <v>31</v>
      </c>
      <c r="I18" s="6">
        <v>32035.000000000004</v>
      </c>
      <c r="J18" s="6">
        <v>30</v>
      </c>
      <c r="K18" s="6">
        <f t="shared" ref="K18:K21" si="6">(E18/30)*J18</f>
        <v>33862</v>
      </c>
      <c r="L18" s="6">
        <f>'[1]SHERIN JACOB'!L37</f>
        <v>29</v>
      </c>
      <c r="M18" s="6">
        <v>32770</v>
      </c>
      <c r="N18" s="6">
        <f>'[1]SHERIN JACOB'!N37</f>
        <v>31</v>
      </c>
      <c r="O18" s="7">
        <f>'[1]SHERIN JACOB'!O37</f>
        <v>33862.000000000015</v>
      </c>
      <c r="P18" s="6">
        <f>'[1]SHERIN JACOB'!P37</f>
        <v>27</v>
      </c>
      <c r="Q18" s="6">
        <f>'[1]SHERIN JACOB'!Q37</f>
        <v>30475.800000000003</v>
      </c>
      <c r="R18" s="6">
        <f>'[1]SHERIN JACOB'!R37</f>
        <v>29.5</v>
      </c>
      <c r="S18" s="6">
        <f>'[1]SHERIN JACOB'!S37</f>
        <v>32223.516129032276</v>
      </c>
      <c r="T18" s="6">
        <f>'[1]SHERIN JACOB'!T37</f>
        <v>30</v>
      </c>
      <c r="U18" s="6">
        <f>'[1]SHERIN JACOB'!U37</f>
        <v>33862</v>
      </c>
      <c r="V18" s="6">
        <f>'[1]SHERIN JACOB'!V37</f>
        <v>31</v>
      </c>
      <c r="W18" s="6">
        <f>'[1]SHERIN JACOB'!W37</f>
        <v>33862.000000000015</v>
      </c>
      <c r="X18" s="6">
        <f>'[1]SHERIN JACOB'!X37</f>
        <v>31</v>
      </c>
      <c r="Y18" s="6">
        <f>'[1]SHERIN JACOB'!Y37</f>
        <v>33862.000000000015</v>
      </c>
      <c r="Z18" s="6">
        <f>'[1]SHERIN JACOB'!Z37</f>
        <v>28</v>
      </c>
      <c r="AA18" s="6">
        <f>'[1]SHERIN JACOB'!AA37</f>
        <v>33861.999999999978</v>
      </c>
      <c r="AB18" s="6">
        <f>'[1]SHERIN JACOB'!AB37</f>
        <v>31</v>
      </c>
      <c r="AC18" s="6">
        <f>'[1]SHERIN JACOB'!AC37</f>
        <v>33862.000000000015</v>
      </c>
      <c r="AD18" s="17">
        <v>45931</v>
      </c>
      <c r="AE18" s="21"/>
      <c r="AF18" s="19"/>
      <c r="AG18" s="19"/>
      <c r="AH18" s="19"/>
      <c r="AI18" s="19"/>
      <c r="AJ18" s="19"/>
      <c r="AK18" s="19"/>
      <c r="AL18" s="19"/>
      <c r="AM18" s="19"/>
      <c r="AN18" s="11">
        <f>'[1]PROJECT MASTER FILE - COPY'!B135</f>
        <v>0</v>
      </c>
      <c r="AO18" s="19"/>
      <c r="AP18" s="11">
        <f>'[1]PROJECT MASTER FILE - COPY'!B18</f>
        <v>0</v>
      </c>
      <c r="AQ18" s="19"/>
    </row>
    <row r="19" spans="1:43" ht="16.5" hidden="1" customHeight="1" x14ac:dyDescent="0.35">
      <c r="A19" s="6">
        <v>16</v>
      </c>
      <c r="B19" s="22" t="s">
        <v>35</v>
      </c>
      <c r="C19" s="6" t="s">
        <v>33</v>
      </c>
      <c r="D19" s="6" t="s">
        <v>12</v>
      </c>
      <c r="E19" s="6">
        <v>32035</v>
      </c>
      <c r="F19" s="6">
        <v>30</v>
      </c>
      <c r="G19" s="6">
        <v>31974</v>
      </c>
      <c r="H19" s="6">
        <v>31</v>
      </c>
      <c r="I19" s="6">
        <v>31974.000000000004</v>
      </c>
      <c r="J19" s="6">
        <v>30</v>
      </c>
      <c r="K19" s="6">
        <f t="shared" si="6"/>
        <v>32034.999999999996</v>
      </c>
      <c r="L19" s="6">
        <v>0</v>
      </c>
      <c r="M19" s="6">
        <v>0</v>
      </c>
      <c r="N19" s="6">
        <v>0</v>
      </c>
      <c r="O19" s="7">
        <v>0</v>
      </c>
      <c r="P19" s="6">
        <f>'[1]LENITA  G LAWRENCE'!P37</f>
        <v>28</v>
      </c>
      <c r="Q19" s="6">
        <f>'[1]LENITA  G LAWRENCE'!Q37</f>
        <v>29899.333333333321</v>
      </c>
      <c r="R19" s="6">
        <f>'[1]LENITA  G LAWRENCE'!R37</f>
        <v>29</v>
      </c>
      <c r="S19" s="6">
        <f>'[1]LENITA  G LAWRENCE'!S37</f>
        <v>29968.225806451606</v>
      </c>
      <c r="T19" s="6">
        <f>'[1]LENITA  G LAWRENCE'!T37</f>
        <v>30</v>
      </c>
      <c r="U19" s="6">
        <f>'[1]LENITA  G LAWRENCE'!U37</f>
        <v>32034.999999999985</v>
      </c>
      <c r="V19" s="6">
        <f>'[1]LENITA  G LAWRENCE'!V37</f>
        <v>31</v>
      </c>
      <c r="W19" s="6">
        <f>'[1]LENITA  G LAWRENCE'!W37</f>
        <v>32034.999999999993</v>
      </c>
      <c r="X19" s="6">
        <f>'[1]LENITA  G LAWRENCE'!X37</f>
        <v>31</v>
      </c>
      <c r="Y19" s="6">
        <f>'[1]LENITA  G LAWRENCE'!Y37</f>
        <v>32034.999999999993</v>
      </c>
      <c r="Z19" s="6">
        <f>'[1]LENITA  G LAWRENCE'!Z37</f>
        <v>28</v>
      </c>
      <c r="AA19" s="6">
        <f>'[1]LENITA  G LAWRENCE'!AA37</f>
        <v>32034.999999999982</v>
      </c>
      <c r="AB19" s="6">
        <f>'[1]LENITA  G LAWRENCE'!AB37</f>
        <v>31</v>
      </c>
      <c r="AC19" s="6">
        <f>'[1]LENITA  G LAWRENCE'!AC37</f>
        <v>32034.999999999993</v>
      </c>
      <c r="AD19" s="17">
        <v>45962</v>
      </c>
      <c r="AE19" s="21"/>
      <c r="AF19" s="19"/>
      <c r="AG19" s="19"/>
      <c r="AH19" s="19"/>
      <c r="AI19" s="19"/>
      <c r="AJ19" s="19"/>
      <c r="AK19" s="19"/>
      <c r="AL19" s="19"/>
      <c r="AM19" s="19"/>
      <c r="AN19" s="11">
        <f>'[1]PROJECT MASTER FILE - COPY'!B136</f>
        <v>0</v>
      </c>
      <c r="AO19" s="19"/>
      <c r="AP19" s="11">
        <f>'[1]PROJECT MASTER FILE - COPY'!B19</f>
        <v>0</v>
      </c>
      <c r="AQ19" s="19"/>
    </row>
    <row r="20" spans="1:43" ht="16.5" customHeight="1" thickBot="1" x14ac:dyDescent="0.4">
      <c r="A20" s="6">
        <v>17</v>
      </c>
      <c r="B20" s="7" t="s">
        <v>36</v>
      </c>
      <c r="C20" s="6" t="s">
        <v>37</v>
      </c>
      <c r="D20" s="6" t="s">
        <v>12</v>
      </c>
      <c r="E20" s="6">
        <v>32384</v>
      </c>
      <c r="F20" s="6">
        <v>30</v>
      </c>
      <c r="G20" s="6">
        <v>30635</v>
      </c>
      <c r="H20" s="6">
        <v>31</v>
      </c>
      <c r="I20" s="6">
        <v>30635</v>
      </c>
      <c r="J20" s="6">
        <v>30</v>
      </c>
      <c r="K20" s="6">
        <f t="shared" si="6"/>
        <v>32384</v>
      </c>
      <c r="L20" s="6">
        <f>'[1]ANJALY V'!L37</f>
        <v>31</v>
      </c>
      <c r="M20" s="6">
        <f>'[1]ANJALY V'!M37</f>
        <v>32383.999999999989</v>
      </c>
      <c r="N20" s="6">
        <f>'[1]ANJALY V'!N37</f>
        <v>31</v>
      </c>
      <c r="O20" s="7">
        <f>'[1]ANJALY V'!O37</f>
        <v>32383.999999999989</v>
      </c>
      <c r="P20" s="6">
        <f>'[1]ANJALY V'!P37</f>
        <v>28</v>
      </c>
      <c r="Q20" s="6">
        <f>'[1]ANJALY V'!Q37</f>
        <v>30225.066666666677</v>
      </c>
      <c r="R20" s="6">
        <f>'[1]ANJALY V'!R37</f>
        <v>28</v>
      </c>
      <c r="S20" s="6">
        <f>'[1]ANJALY V'!S37</f>
        <v>29250.064516129023</v>
      </c>
      <c r="T20" s="6">
        <f>'[1]ANJALY V'!T37</f>
        <v>30</v>
      </c>
      <c r="U20" s="6">
        <f>'[1]ANJALY V'!U37</f>
        <v>32384.000000000011</v>
      </c>
      <c r="V20" s="6">
        <f>'[1]ANJALY V'!V37</f>
        <v>31</v>
      </c>
      <c r="W20" s="6">
        <f>'[1]ANJALY V'!W37</f>
        <v>32383.999999999989</v>
      </c>
      <c r="X20" s="6">
        <f>'[1]ANJALY V'!X37</f>
        <v>31</v>
      </c>
      <c r="Y20" s="6">
        <f>'[1]ANJALY V'!Y37</f>
        <v>32383.999999999989</v>
      </c>
      <c r="Z20" s="6">
        <f>'[1]ANJALY V'!Z37</f>
        <v>28</v>
      </c>
      <c r="AA20" s="6">
        <f>'[1]ANJALY V'!AA37</f>
        <v>32383.999999999993</v>
      </c>
      <c r="AB20" s="6">
        <f>'[1]ANJALY V'!AB37</f>
        <v>31</v>
      </c>
      <c r="AC20" s="6">
        <f>'[1]ANJALY V'!AC37</f>
        <v>32383.999999999989</v>
      </c>
      <c r="AD20" s="17">
        <v>45992</v>
      </c>
      <c r="AE20" s="21"/>
      <c r="AF20" s="19"/>
      <c r="AG20" s="19"/>
      <c r="AH20" s="19"/>
      <c r="AI20" s="19"/>
      <c r="AJ20" s="19"/>
      <c r="AK20" s="19"/>
      <c r="AL20" s="19"/>
      <c r="AM20" s="19"/>
      <c r="AN20" s="11">
        <f>'[1]PROJECT MASTER FILE - COPY'!B137</f>
        <v>0</v>
      </c>
      <c r="AO20" s="19"/>
      <c r="AP20" s="11">
        <f>'[1]PROJECT MASTER FILE - COPY'!B20</f>
        <v>0</v>
      </c>
      <c r="AQ20" s="19"/>
    </row>
    <row r="21" spans="1:43" ht="16.5" customHeight="1" thickBot="1" x14ac:dyDescent="0.4">
      <c r="A21" s="6">
        <v>18</v>
      </c>
      <c r="B21" s="7" t="s">
        <v>38</v>
      </c>
      <c r="C21" s="6" t="s">
        <v>11</v>
      </c>
      <c r="D21" s="6" t="s">
        <v>12</v>
      </c>
      <c r="E21" s="6">
        <v>25318</v>
      </c>
      <c r="F21" s="6">
        <v>24</v>
      </c>
      <c r="G21" s="6">
        <v>20253.599999999999</v>
      </c>
      <c r="H21" s="6">
        <v>31</v>
      </c>
      <c r="I21" s="6">
        <v>25317</v>
      </c>
      <c r="J21" s="6">
        <v>30</v>
      </c>
      <c r="K21" s="6">
        <f t="shared" si="6"/>
        <v>25318</v>
      </c>
      <c r="L21" s="6">
        <f>[1]SYAMILI!L37</f>
        <v>31</v>
      </c>
      <c r="M21" s="6">
        <f>[1]SYAMILI!M37</f>
        <v>25318.000000000011</v>
      </c>
      <c r="N21" s="6">
        <f>[1]SYAMILI!N37</f>
        <v>31</v>
      </c>
      <c r="O21" s="7">
        <f>[1]SYAMILI!O37</f>
        <v>25318.000000000007</v>
      </c>
      <c r="P21" s="6">
        <f>[1]SYAMILI!P37</f>
        <v>28</v>
      </c>
      <c r="Q21" s="6">
        <f>[1]SYAMILI!Q37</f>
        <v>23630.133333333331</v>
      </c>
      <c r="R21" s="6">
        <f>[1]SYAMILI!R37</f>
        <v>29.5</v>
      </c>
      <c r="S21" s="6">
        <f>[1]SYAMILI!S37</f>
        <v>24092.935483870977</v>
      </c>
      <c r="T21" s="6">
        <f>[1]SYAMILI!T37</f>
        <v>30</v>
      </c>
      <c r="U21" s="6">
        <f>[1]SYAMILI!U37</f>
        <v>25318</v>
      </c>
      <c r="V21" s="6">
        <f>[1]SYAMILI!V37</f>
        <v>31</v>
      </c>
      <c r="W21" s="6">
        <f>[1]SYAMILI!W37</f>
        <v>25318.000000000007</v>
      </c>
      <c r="X21" s="6">
        <f>[1]SYAMILI!X37</f>
        <v>31</v>
      </c>
      <c r="Y21" s="6">
        <f>[1]SYAMILI!Y37</f>
        <v>25318.000000000007</v>
      </c>
      <c r="Z21" s="6">
        <f>[1]SYAMILI!Z37</f>
        <v>28</v>
      </c>
      <c r="AA21" s="6">
        <f>[1]SYAMILI!AA37</f>
        <v>25318.000000000007</v>
      </c>
      <c r="AB21" s="6">
        <f>[1]SYAMILI!AB37</f>
        <v>31</v>
      </c>
      <c r="AC21" s="6">
        <f>[1]SYAMILI!AC37</f>
        <v>25318.000000000007</v>
      </c>
      <c r="AD21" s="17">
        <v>46023</v>
      </c>
      <c r="AE21" s="21"/>
      <c r="AF21" s="19"/>
      <c r="AG21" s="19"/>
      <c r="AH21" s="19"/>
      <c r="AI21" s="19"/>
      <c r="AJ21" s="19"/>
      <c r="AK21" s="19"/>
      <c r="AL21" s="19"/>
      <c r="AM21" s="19"/>
      <c r="AN21" s="11">
        <f>'[1]PROJECT MASTER FILE - COPY'!B138</f>
        <v>0</v>
      </c>
      <c r="AO21" s="19"/>
      <c r="AP21" s="11">
        <f>'[1]PROJECT MASTER FILE - COPY'!B21</f>
        <v>0</v>
      </c>
      <c r="AQ21" s="19"/>
    </row>
    <row r="22" spans="1:43" ht="16.5" customHeight="1" thickBot="1" x14ac:dyDescent="0.4">
      <c r="A22" s="6">
        <v>19</v>
      </c>
      <c r="B22" s="7" t="s">
        <v>39</v>
      </c>
      <c r="C22" s="6" t="s">
        <v>40</v>
      </c>
      <c r="D22" s="6" t="s">
        <v>12</v>
      </c>
      <c r="E22" s="6">
        <v>24509</v>
      </c>
      <c r="F22" s="6">
        <v>10</v>
      </c>
      <c r="G22" s="6">
        <v>8169.333333333333</v>
      </c>
      <c r="H22" s="6">
        <v>30</v>
      </c>
      <c r="I22" s="6">
        <v>23717.419354838712</v>
      </c>
      <c r="J22" s="6">
        <v>30</v>
      </c>
      <c r="K22" s="6">
        <v>24113</v>
      </c>
      <c r="L22" s="6">
        <f>'[1]SILPA P L'!L37</f>
        <v>30.5</v>
      </c>
      <c r="M22" s="6">
        <v>24113</v>
      </c>
      <c r="N22" s="6">
        <f>'[1]SILPA P L'!N37</f>
        <v>31</v>
      </c>
      <c r="O22" s="7">
        <f>'[1]SILPA P L'!O37</f>
        <v>24509.000000000004</v>
      </c>
      <c r="P22" s="6">
        <f>'[1]SILPA P L'!P37</f>
        <v>26.5</v>
      </c>
      <c r="Q22" s="6">
        <f>'[1]SILPA P L'!Q37</f>
        <v>21649.616666666676</v>
      </c>
      <c r="R22" s="6">
        <f>'[1]SILPA P L'!R37</f>
        <v>27.5</v>
      </c>
      <c r="S22" s="6">
        <f>'[1]SILPA P L'!S37</f>
        <v>21741.854838709685</v>
      </c>
      <c r="T22" s="6">
        <f>'[1]SILPA P L'!T37</f>
        <v>30</v>
      </c>
      <c r="U22" s="6">
        <f>'[1]SILPA P L'!U37</f>
        <v>24509.000000000011</v>
      </c>
      <c r="V22" s="6">
        <f>'[1]SILPA P L'!V37</f>
        <v>31</v>
      </c>
      <c r="W22" s="6">
        <f>'[1]SILPA P L'!W37</f>
        <v>24509.000000000007</v>
      </c>
      <c r="X22" s="6">
        <f>'[1]SILPA P L'!X37</f>
        <v>31</v>
      </c>
      <c r="Y22" s="6">
        <f>'[1]SILPA P L'!Y37</f>
        <v>24509.000000000007</v>
      </c>
      <c r="Z22" s="6">
        <f>'[1]SILPA P L'!Z37</f>
        <v>28</v>
      </c>
      <c r="AA22" s="6">
        <f>'[1]SILPA P L'!AA37</f>
        <v>24508.999999999996</v>
      </c>
      <c r="AB22" s="6">
        <f>'[1]SILPA P L'!AB37</f>
        <v>31</v>
      </c>
      <c r="AC22" s="6">
        <f>'[1]SILPA P L'!AC37</f>
        <v>24509.000000000007</v>
      </c>
      <c r="AD22" s="17">
        <v>46054</v>
      </c>
      <c r="AE22" s="21"/>
      <c r="AF22" s="19"/>
      <c r="AG22" s="19"/>
      <c r="AH22" s="19"/>
      <c r="AI22" s="19"/>
      <c r="AJ22" s="19"/>
      <c r="AK22" s="19"/>
      <c r="AL22" s="19"/>
      <c r="AM22" s="19"/>
      <c r="AN22" s="11">
        <f>'[1]PROJECT MASTER FILE - COPY'!B139</f>
        <v>0</v>
      </c>
      <c r="AO22" s="19"/>
      <c r="AP22" s="11">
        <f>'[1]PROJECT MASTER FILE - COPY'!B22</f>
        <v>0</v>
      </c>
      <c r="AQ22" s="19"/>
    </row>
    <row r="23" spans="1:43" ht="16.5" customHeight="1" thickBot="1" x14ac:dyDescent="0.4">
      <c r="A23" s="6">
        <v>20</v>
      </c>
      <c r="B23" s="7" t="s">
        <v>41</v>
      </c>
      <c r="C23" s="6" t="s">
        <v>42</v>
      </c>
      <c r="D23" s="6" t="s">
        <v>12</v>
      </c>
      <c r="E23" s="6">
        <v>25318</v>
      </c>
      <c r="F23" s="6">
        <v>10</v>
      </c>
      <c r="G23" s="6">
        <v>8169.333333333333</v>
      </c>
      <c r="H23" s="6">
        <v>30</v>
      </c>
      <c r="I23" s="6">
        <v>23717.419354838712</v>
      </c>
      <c r="J23" s="6">
        <v>30</v>
      </c>
      <c r="K23" s="6">
        <f>(E23/30)*J23</f>
        <v>25318</v>
      </c>
      <c r="L23" s="6">
        <f>'[1]NEELIMA K N'!L37</f>
        <v>31</v>
      </c>
      <c r="M23" s="6">
        <f>'[1]NEELIMA K N'!M37</f>
        <v>25318.000000000007</v>
      </c>
      <c r="N23" s="6">
        <f>'[1]NEELIMA K N'!N37</f>
        <v>31</v>
      </c>
      <c r="O23" s="7">
        <f>'[1]NEELIMA K N'!O37</f>
        <v>25318.000000000007</v>
      </c>
      <c r="P23" s="6">
        <f>'[1]NEELIMA K N'!P37</f>
        <v>28</v>
      </c>
      <c r="Q23" s="6">
        <f>'[1]NEELIMA K N'!Q37</f>
        <v>23630.133333333331</v>
      </c>
      <c r="R23" s="6">
        <f>'[1]NEELIMA K N'!R37</f>
        <v>30.5</v>
      </c>
      <c r="S23" s="6">
        <f>'[1]NEELIMA K N'!S37</f>
        <v>24909.645161290333</v>
      </c>
      <c r="T23" s="6">
        <f>'[1]NEELIMA K N'!T37</f>
        <v>30</v>
      </c>
      <c r="U23" s="6">
        <f>'[1]NEELIMA K N'!U37</f>
        <v>25318</v>
      </c>
      <c r="V23" s="6">
        <f>'[1]NEELIMA K N'!V37</f>
        <v>31</v>
      </c>
      <c r="W23" s="6">
        <f>'[1]NEELIMA K N'!W37</f>
        <v>25318.000000000007</v>
      </c>
      <c r="X23" s="6">
        <f>'[1]NEELIMA K N'!X37</f>
        <v>31</v>
      </c>
      <c r="Y23" s="6">
        <f>'[1]NEELIMA K N'!Y37</f>
        <v>25318.000000000007</v>
      </c>
      <c r="Z23" s="6">
        <f>'[1]NEELIMA K N'!Z37</f>
        <v>28</v>
      </c>
      <c r="AA23" s="6">
        <f>'[1]NEELIMA K N'!AA37</f>
        <v>25318.000000000007</v>
      </c>
      <c r="AB23" s="6">
        <f>'[1]NEELIMA K N'!AB37</f>
        <v>31</v>
      </c>
      <c r="AC23" s="6">
        <f>'[1]NEELIMA K N'!AC37</f>
        <v>25318.000000000007</v>
      </c>
      <c r="AD23" s="17"/>
      <c r="AE23" s="21"/>
      <c r="AF23" s="19"/>
      <c r="AG23" s="19"/>
      <c r="AH23" s="19"/>
      <c r="AI23" s="19"/>
      <c r="AJ23" s="19"/>
      <c r="AK23" s="19"/>
      <c r="AL23" s="19"/>
      <c r="AM23" s="19"/>
      <c r="AN23" s="11">
        <f>'[1]PROJECT MASTER FILE - COPY'!B140</f>
        <v>0</v>
      </c>
      <c r="AO23" s="19"/>
      <c r="AP23" s="11">
        <f>'[1]PROJECT MASTER FILE - COPY'!B23</f>
        <v>0</v>
      </c>
      <c r="AQ23" s="19"/>
    </row>
    <row r="24" spans="1:43" ht="16.5" customHeight="1" x14ac:dyDescent="0.35">
      <c r="A24" s="6">
        <v>21</v>
      </c>
      <c r="B24" s="7" t="s">
        <v>43</v>
      </c>
      <c r="C24" s="6" t="s">
        <v>18</v>
      </c>
      <c r="D24" s="6" t="s">
        <v>12</v>
      </c>
      <c r="E24" s="6">
        <v>21367</v>
      </c>
      <c r="F24" s="6">
        <v>0</v>
      </c>
      <c r="G24" s="6">
        <v>0</v>
      </c>
      <c r="H24" s="6">
        <v>19</v>
      </c>
      <c r="I24" s="6">
        <v>13095.903225806451</v>
      </c>
      <c r="J24" s="6">
        <v>29.5</v>
      </c>
      <c r="K24" s="6">
        <v>21011</v>
      </c>
      <c r="L24" s="6">
        <f>[1]VISHNU!L37</f>
        <v>22</v>
      </c>
      <c r="M24" s="6">
        <v>15182</v>
      </c>
      <c r="N24" s="6">
        <f>[1]VISHNU!N37</f>
        <v>31</v>
      </c>
      <c r="O24" s="7">
        <f>[1]VISHNU!O37</f>
        <v>21366.999999999996</v>
      </c>
      <c r="P24" s="6">
        <f>[1]VISHNU!P37</f>
        <v>27.5</v>
      </c>
      <c r="Q24" s="6">
        <f>[1]VISHNU!Q37</f>
        <v>19586.416666666672</v>
      </c>
      <c r="R24" s="6">
        <f>[1]VISHNU!R37</f>
        <v>30.5</v>
      </c>
      <c r="S24" s="6">
        <f>[1]VISHNU!S37</f>
        <v>21022.370967741932</v>
      </c>
      <c r="T24" s="6">
        <f>[1]VISHNU!T37</f>
        <v>30</v>
      </c>
      <c r="U24" s="6">
        <f>[1]VISHNU!U37</f>
        <v>21367.000000000004</v>
      </c>
      <c r="V24" s="6">
        <f>[1]VISHNU!V37</f>
        <v>31</v>
      </c>
      <c r="W24" s="6">
        <f>[1]VISHNU!W37</f>
        <v>21366.999999999996</v>
      </c>
      <c r="X24" s="6">
        <f>[1]VISHNU!X37</f>
        <v>31</v>
      </c>
      <c r="Y24" s="6">
        <f>[1]VISHNU!Y37</f>
        <v>21366.999999999996</v>
      </c>
      <c r="Z24" s="6">
        <f>[1]VISHNU!Z37</f>
        <v>28</v>
      </c>
      <c r="AA24" s="6">
        <f>[1]VISHNU!AA37</f>
        <v>21366.999999999993</v>
      </c>
      <c r="AB24" s="6">
        <f>[1]VISHNU!AB37</f>
        <v>31</v>
      </c>
      <c r="AC24" s="6">
        <f>[1]VISHNU!AC37</f>
        <v>21366.999999999996</v>
      </c>
      <c r="AD24" s="23">
        <v>46082</v>
      </c>
      <c r="AE24" s="24"/>
      <c r="AF24" s="25"/>
      <c r="AG24" s="25"/>
      <c r="AH24" s="25"/>
      <c r="AI24" s="25"/>
      <c r="AJ24" s="25"/>
      <c r="AK24" s="25"/>
      <c r="AL24" s="25"/>
      <c r="AM24" s="25"/>
      <c r="AN24" s="26">
        <f>'[1]PROJECT MASTER FILE - COPY'!B141</f>
        <v>0</v>
      </c>
      <c r="AO24" s="25"/>
      <c r="AP24" s="26">
        <f>'[1]PROJECT MASTER FILE - COPY'!B24</f>
        <v>0</v>
      </c>
      <c r="AQ24" s="25"/>
    </row>
    <row r="25" spans="1:43" ht="16.5" customHeight="1" x14ac:dyDescent="0.35">
      <c r="A25" s="6">
        <v>22</v>
      </c>
      <c r="B25" s="7" t="s">
        <v>44</v>
      </c>
      <c r="C25" s="6" t="s">
        <v>20</v>
      </c>
      <c r="D25" s="6" t="s">
        <v>12</v>
      </c>
      <c r="E25" s="6">
        <f>'[1]PROJECT MANPOWER'!E4</f>
        <v>24448</v>
      </c>
      <c r="F25" s="6"/>
      <c r="G25" s="6"/>
      <c r="H25" s="6"/>
      <c r="I25" s="6"/>
      <c r="J25" s="6">
        <v>0</v>
      </c>
      <c r="K25" s="6">
        <v>0</v>
      </c>
      <c r="L25" s="6">
        <f>'[1]JAYALEKSHMI J'!L37</f>
        <v>18</v>
      </c>
      <c r="M25" s="6">
        <f>'[1]JAYALEKSHMI J'!M37</f>
        <v>14195.612903225803</v>
      </c>
      <c r="N25" s="6">
        <f>'[1]JAYALEKSHMI J'!N37</f>
        <v>29</v>
      </c>
      <c r="O25" s="7">
        <v>22931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27"/>
      <c r="AO25" s="6"/>
      <c r="AP25" s="27"/>
      <c r="AQ25" s="6"/>
    </row>
    <row r="26" spans="1:43" ht="16.5" customHeight="1" x14ac:dyDescent="0.35">
      <c r="A26" s="6">
        <v>23</v>
      </c>
      <c r="B26" s="7" t="s">
        <v>45</v>
      </c>
      <c r="C26" s="6" t="s">
        <v>33</v>
      </c>
      <c r="D26" s="6" t="s">
        <v>12</v>
      </c>
      <c r="E26" s="6">
        <f>'[1]PROJECT MANPOWER'!E17</f>
        <v>32035</v>
      </c>
      <c r="F26" s="6"/>
      <c r="G26" s="6"/>
      <c r="H26" s="6"/>
      <c r="I26" s="6"/>
      <c r="J26" s="6">
        <v>0</v>
      </c>
      <c r="K26" s="6">
        <v>0</v>
      </c>
      <c r="L26" s="6">
        <f>'[1]ARJUNA V NATH'!L37</f>
        <v>31</v>
      </c>
      <c r="M26" s="6">
        <f>'[1]ARJUNA V NATH'!M37</f>
        <v>32034.999999999996</v>
      </c>
      <c r="N26" s="6">
        <f>'[1]ARJUNA V NATH'!N37</f>
        <v>31</v>
      </c>
      <c r="O26" s="7">
        <v>32035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27"/>
      <c r="AO26" s="6"/>
      <c r="AP26" s="27"/>
      <c r="AQ26" s="6"/>
    </row>
    <row r="27" spans="1:43" ht="16.5" customHeight="1" x14ac:dyDescent="0.35">
      <c r="A27" s="6">
        <v>24</v>
      </c>
      <c r="B27" s="7" t="str">
        <f>'[1]PROJECT MANPOWER'!B11</f>
        <v>Swathy Krishna S</v>
      </c>
      <c r="C27" s="6" t="str">
        <f>'[1]PROJECT MANPOWER'!C11</f>
        <v>Project Associate (Community Development)</v>
      </c>
      <c r="D27" s="6" t="s">
        <v>12</v>
      </c>
      <c r="E27" s="6">
        <f>'[1]PROJECT MANPOWER'!E11</f>
        <v>30186</v>
      </c>
      <c r="F27" s="6"/>
      <c r="G27" s="6"/>
      <c r="H27" s="6"/>
      <c r="I27" s="6"/>
      <c r="J27" s="6">
        <v>0</v>
      </c>
      <c r="K27" s="6">
        <v>0</v>
      </c>
      <c r="L27" s="6">
        <f>'[1]SWATHY KRISHNA S'!L37</f>
        <v>30.5</v>
      </c>
      <c r="M27" s="6">
        <f>'[1]SWATHY KRISHNA S'!M37</f>
        <v>29699.129032258068</v>
      </c>
      <c r="N27" s="6">
        <f>'[1]SWATHY KRISHNA S'!N37</f>
        <v>29.5</v>
      </c>
      <c r="O27" s="7">
        <v>28700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27"/>
      <c r="AO27" s="6"/>
      <c r="AP27" s="27"/>
      <c r="AQ27" s="6"/>
    </row>
    <row r="28" spans="1:43" ht="16.5" customHeight="1" x14ac:dyDescent="0.35">
      <c r="A28" s="6">
        <v>25</v>
      </c>
      <c r="B28" s="7" t="str">
        <f>'[1]PROJECT MANPOWER'!B14</f>
        <v>Bhavya R J</v>
      </c>
      <c r="C28" s="6" t="str">
        <f>'[1]PROJECT MANPOWER'!C14</f>
        <v>Project Associate (Public Health)</v>
      </c>
      <c r="D28" s="6" t="s">
        <v>12</v>
      </c>
      <c r="E28" s="6">
        <f>'[1]PROJECT MANPOWER'!E14</f>
        <v>31762</v>
      </c>
      <c r="F28" s="6"/>
      <c r="G28" s="6"/>
      <c r="H28" s="6"/>
      <c r="I28" s="6"/>
      <c r="J28" s="6">
        <v>0</v>
      </c>
      <c r="K28" s="6">
        <v>0</v>
      </c>
      <c r="L28" s="6">
        <f>'[1]BHAVYA R J'!L37</f>
        <v>30</v>
      </c>
      <c r="M28" s="6">
        <f>'[1]BHAVYA R J'!M37</f>
        <v>30737.419354838723</v>
      </c>
      <c r="N28" s="6">
        <f>'[1]BHAVYA R J'!N37</f>
        <v>31</v>
      </c>
      <c r="O28" s="7">
        <v>32187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27"/>
      <c r="AO28" s="6"/>
      <c r="AP28" s="27"/>
      <c r="AQ28" s="6"/>
    </row>
    <row r="29" spans="1:43" ht="16.5" hidden="1" customHeight="1" x14ac:dyDescent="0.35">
      <c r="A29" s="6">
        <v>26</v>
      </c>
      <c r="B29" s="6" t="str">
        <f>'[1]PROJECT MANPOWER'!B18</f>
        <v>Rejitha Ravi</v>
      </c>
      <c r="C29" s="6" t="str">
        <f>'[1]PROJECT MANPOWER'!C18</f>
        <v>Project Associate (Public Health)</v>
      </c>
      <c r="D29" s="6" t="s">
        <v>12</v>
      </c>
      <c r="E29" s="6">
        <f>'[1]PROJECT MANPOWER'!E18</f>
        <v>32035</v>
      </c>
      <c r="F29" s="6"/>
      <c r="G29" s="6"/>
      <c r="H29" s="6"/>
      <c r="I29" s="6"/>
      <c r="J29" s="6">
        <v>0</v>
      </c>
      <c r="K29" s="6">
        <v>0</v>
      </c>
      <c r="L29" s="6">
        <f>'[1]REJITHA RAVI'!L37</f>
        <v>30</v>
      </c>
      <c r="M29" s="6">
        <f>'[1]REJITHA RAVI'!M37</f>
        <v>31001.6129032258</v>
      </c>
      <c r="N29" s="6"/>
      <c r="O29" s="7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27"/>
      <c r="AO29" s="6"/>
      <c r="AP29" s="27"/>
      <c r="AQ29" s="6"/>
    </row>
    <row r="30" spans="1:43" ht="16.5" customHeight="1" x14ac:dyDescent="0.35">
      <c r="A30" s="6">
        <v>27</v>
      </c>
      <c r="B30" s="7" t="s">
        <v>46</v>
      </c>
      <c r="C30" s="6" t="s">
        <v>18</v>
      </c>
      <c r="D30" s="6" t="s">
        <v>12</v>
      </c>
      <c r="E30" s="6">
        <v>21367</v>
      </c>
      <c r="F30" s="6">
        <v>0</v>
      </c>
      <c r="G30" s="6">
        <v>0</v>
      </c>
      <c r="H30" s="6">
        <v>0</v>
      </c>
      <c r="I30" s="6">
        <v>0</v>
      </c>
      <c r="J30" s="6">
        <v>29</v>
      </c>
      <c r="K30" s="6">
        <v>20658</v>
      </c>
      <c r="L30" s="6">
        <f>'[1]ANAKHA JOY'!L37</f>
        <v>30</v>
      </c>
      <c r="M30" s="6">
        <v>20681</v>
      </c>
      <c r="N30" s="6">
        <f>'[1]ANAKHA JOY'!N37</f>
        <v>27.5</v>
      </c>
      <c r="O30" s="7">
        <v>18961</v>
      </c>
      <c r="P30" s="6">
        <f>'[1]ANAKHA JOY'!P37</f>
        <v>25</v>
      </c>
      <c r="Q30" s="6">
        <f>'[1]ANAKHA JOY'!Q37</f>
        <v>17805.833333333336</v>
      </c>
      <c r="R30" s="6">
        <f>'[1]ANAKHA JOY'!R37</f>
        <v>29.5</v>
      </c>
      <c r="S30" s="6">
        <f>'[1]ANAKHA JOY'!S37</f>
        <v>20333.112903225803</v>
      </c>
      <c r="T30" s="6">
        <f>'[1]ANAKHA JOY'!T37</f>
        <v>30</v>
      </c>
      <c r="U30" s="6">
        <f>'[1]ANAKHA JOY'!U37</f>
        <v>21367.000000000004</v>
      </c>
      <c r="V30" s="6">
        <f>'[1]ANAKHA JOY'!V37</f>
        <v>31</v>
      </c>
      <c r="W30" s="6">
        <f>'[1]ANAKHA JOY'!W37</f>
        <v>21366.999999999996</v>
      </c>
      <c r="X30" s="6">
        <f>'[1]ANAKHA JOY'!X37</f>
        <v>31</v>
      </c>
      <c r="Y30" s="6">
        <f>'[1]ANAKHA JOY'!Y37</f>
        <v>21366.999999999996</v>
      </c>
      <c r="Z30" s="6">
        <f>'[1]ANAKHA JOY'!Z37</f>
        <v>28</v>
      </c>
      <c r="AA30" s="6">
        <f>'[1]ANAKHA JOY'!AA37</f>
        <v>21366.999999999993</v>
      </c>
      <c r="AB30" s="6">
        <f>'[1]ANAKHA JOY'!AB37</f>
        <v>31</v>
      </c>
      <c r="AC30" s="6">
        <f>'[1]ANAKHA JOY'!AC37</f>
        <v>21366.999999999996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27">
        <f>'[1]PROJECT MASTER FILE - COPY'!B142</f>
        <v>0</v>
      </c>
      <c r="AO30" s="6"/>
      <c r="AP30" s="27">
        <f>'[1]PROJECT MASTER FILE - COPY'!B25</f>
        <v>0</v>
      </c>
      <c r="AQ30" s="6"/>
    </row>
    <row r="31" spans="1:43" ht="16.5" customHeight="1" x14ac:dyDescent="0.35">
      <c r="A31" s="1"/>
      <c r="B31" s="1"/>
      <c r="C31" s="1"/>
      <c r="D31" s="1"/>
      <c r="E31" s="1">
        <f>SUM(E4:E30)</f>
        <v>753558</v>
      </c>
      <c r="F31" s="1"/>
      <c r="G31" s="1"/>
      <c r="H31" s="1"/>
      <c r="I31" s="1"/>
      <c r="J31" s="1"/>
      <c r="K31" s="1">
        <f>SUM(K4:K30)</f>
        <v>593057</v>
      </c>
      <c r="L31" s="1"/>
      <c r="M31" s="1">
        <f>SUM(M4:M30)</f>
        <v>690762.77419354836</v>
      </c>
      <c r="N31" s="1"/>
      <c r="O31" s="1">
        <f>SUM(O4:O30)</f>
        <v>632239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27">
        <f>'[1]PROJECT MASTER FILE - COPY'!B143</f>
        <v>0</v>
      </c>
      <c r="AO31" s="6"/>
      <c r="AP31" s="27">
        <f>'[1]PROJECT MASTER FILE - COPY'!B26</f>
        <v>0</v>
      </c>
      <c r="AQ31" s="6"/>
    </row>
    <row r="32" spans="1:43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3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16.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16.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</sheetData>
  <mergeCells count="13">
    <mergeCell ref="AD1:AQ1"/>
    <mergeCell ref="R1:S1"/>
    <mergeCell ref="T1:U1"/>
    <mergeCell ref="V1:W1"/>
    <mergeCell ref="X1:Y1"/>
    <mergeCell ref="Z1:AA1"/>
    <mergeCell ref="AB1:AC1"/>
    <mergeCell ref="F1:G1"/>
    <mergeCell ref="H1:I1"/>
    <mergeCell ref="J1:K1"/>
    <mergeCell ref="L1:M1"/>
    <mergeCell ref="N1:O1"/>
    <mergeCell ref="P1:Q1"/>
  </mergeCells>
  <pageMargins left="1" right="1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MANPOWER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Aksayaa Aksayaa</dc:creator>
  <cp:lastModifiedBy>Aksayaa Aksayaa</cp:lastModifiedBy>
  <dcterms:created xsi:type="dcterms:W3CDTF">2025-12-11T18:34:09Z</dcterms:created>
  <dcterms:modified xsi:type="dcterms:W3CDTF">2025-12-11T18:38:12Z</dcterms:modified>
</cp:coreProperties>
</file>