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005"/>
  </bookViews>
  <sheets>
    <sheet name="JULY 2025 ADMIN EXPENSES" sheetId="1" r:id="rId1"/>
  </sheets>
  <externalReferences>
    <externalReference r:id="rId2"/>
  </externalReferences>
  <definedNames>
    <definedName name="_xlnm._FilterDatabase" localSheetId="0" hidden="1">'JULY 2025 ADMIN EXPENSES'!$A$2:$AI$2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H10" i="1"/>
  <c r="F10" i="1"/>
  <c r="U8" i="1"/>
  <c r="U7" i="1"/>
  <c r="U6" i="1"/>
  <c r="F5" i="1"/>
  <c r="U5" i="1" s="1"/>
  <c r="U4" i="1"/>
  <c r="AH3" i="1"/>
  <c r="AG3" i="1"/>
  <c r="AE3" i="1"/>
  <c r="AD3" i="1"/>
  <c r="AC3" i="1"/>
  <c r="AB3" i="1"/>
  <c r="AA3" i="1"/>
  <c r="Z3" i="1"/>
  <c r="Y3" i="1"/>
  <c r="X3" i="1"/>
  <c r="W3" i="1"/>
  <c r="AI3" i="1" s="1"/>
  <c r="U3" i="1"/>
  <c r="U9" i="1" s="1"/>
  <c r="E3" i="1"/>
  <c r="AG2" i="1"/>
  <c r="AF2" i="1"/>
  <c r="AE2" i="1"/>
  <c r="AD2" i="1"/>
  <c r="AC2" i="1"/>
  <c r="AB2" i="1"/>
  <c r="AA2" i="1"/>
  <c r="Z2" i="1"/>
  <c r="Y2" i="1"/>
  <c r="X2" i="1"/>
  <c r="W2" i="1"/>
  <c r="S2" i="1"/>
  <c r="R2" i="1"/>
  <c r="Q2" i="1"/>
  <c r="P2" i="1"/>
  <c r="O2" i="1"/>
  <c r="N2" i="1"/>
  <c r="M2" i="1"/>
  <c r="L2" i="1"/>
  <c r="K2" i="1"/>
  <c r="J2" i="1"/>
  <c r="I2" i="1"/>
  <c r="H3" i="1" l="1"/>
  <c r="S8" i="1" l="1"/>
  <c r="O8" i="1"/>
  <c r="K8" i="1"/>
  <c r="P7" i="1"/>
  <c r="L7" i="1"/>
  <c r="P6" i="1"/>
  <c r="L6" i="1"/>
  <c r="P5" i="1"/>
  <c r="L5" i="1"/>
  <c r="R4" i="1"/>
  <c r="N4" i="1"/>
  <c r="J4" i="1"/>
  <c r="S3" i="1"/>
  <c r="N3" i="1"/>
  <c r="J3" i="1"/>
  <c r="R8" i="1"/>
  <c r="N8" i="1"/>
  <c r="J8" i="1"/>
  <c r="S7" i="1"/>
  <c r="O7" i="1"/>
  <c r="K7" i="1"/>
  <c r="O6" i="1"/>
  <c r="K6" i="1"/>
  <c r="O5" i="1"/>
  <c r="K5" i="1"/>
  <c r="Q4" i="1"/>
  <c r="M4" i="1"/>
  <c r="I4" i="1"/>
  <c r="R3" i="1"/>
  <c r="M3" i="1"/>
  <c r="I3" i="1"/>
  <c r="Q8" i="1"/>
  <c r="M8" i="1"/>
  <c r="I8" i="1"/>
  <c r="R7" i="1"/>
  <c r="N7" i="1"/>
  <c r="J7" i="1"/>
  <c r="S6" i="1"/>
  <c r="N6" i="1"/>
  <c r="J6" i="1"/>
  <c r="S5" i="1"/>
  <c r="N5" i="1"/>
  <c r="J5" i="1"/>
  <c r="P4" i="1"/>
  <c r="L4" i="1"/>
  <c r="P3" i="1"/>
  <c r="L3" i="1"/>
  <c r="L9" i="1" s="1"/>
  <c r="P8" i="1"/>
  <c r="L8" i="1"/>
  <c r="Q7" i="1"/>
  <c r="M7" i="1"/>
  <c r="I7" i="1"/>
  <c r="T7" i="1" s="1"/>
  <c r="R6" i="1"/>
  <c r="M6" i="1"/>
  <c r="I6" i="1"/>
  <c r="R5" i="1"/>
  <c r="M5" i="1"/>
  <c r="I5" i="1"/>
  <c r="S4" i="1"/>
  <c r="O4" i="1"/>
  <c r="K4" i="1"/>
  <c r="O3" i="1"/>
  <c r="K3" i="1"/>
  <c r="K9" i="1" s="1"/>
  <c r="T4" i="1" l="1"/>
  <c r="T6" i="1"/>
  <c r="I9" i="1"/>
  <c r="T3" i="1"/>
  <c r="T9" i="1" s="1"/>
  <c r="J9" i="1"/>
  <c r="O9" i="1"/>
  <c r="T5" i="1"/>
  <c r="P9" i="1"/>
  <c r="T8" i="1"/>
  <c r="M9" i="1"/>
  <c r="Q9" i="1"/>
  <c r="N9" i="1"/>
  <c r="R9" i="1"/>
  <c r="S9" i="1"/>
</calcChain>
</file>

<file path=xl/sharedStrings.xml><?xml version="1.0" encoding="utf-8"?>
<sst xmlns="http://schemas.openxmlformats.org/spreadsheetml/2006/main" count="90" uniqueCount="66">
  <si>
    <t>HR @ 5% CSR</t>
  </si>
  <si>
    <t>ADMIN CHARGES TOTAL</t>
  </si>
  <si>
    <t>TOTAL</t>
  </si>
  <si>
    <t>BALANCE</t>
  </si>
  <si>
    <t>Sl No</t>
  </si>
  <si>
    <t>Vendor</t>
  </si>
  <si>
    <t>Service</t>
  </si>
  <si>
    <t>Payment frequency</t>
  </si>
  <si>
    <t>Annual commitment</t>
  </si>
  <si>
    <t>Monthly Average</t>
  </si>
  <si>
    <t>Actual 
expense</t>
  </si>
  <si>
    <t>LSGB</t>
  </si>
  <si>
    <t>Additional LSGB</t>
  </si>
  <si>
    <t>Month</t>
  </si>
  <si>
    <t>HMA HR REVENUE</t>
  </si>
  <si>
    <t>Manjith Travels</t>
  </si>
  <si>
    <t>Contract Vehicle</t>
  </si>
  <si>
    <t>Monthly</t>
  </si>
  <si>
    <t>Alchemy IBS</t>
  </si>
  <si>
    <t>Website</t>
  </si>
  <si>
    <t>Oval Blue Technologies</t>
  </si>
  <si>
    <t>Photocopier SDP</t>
  </si>
  <si>
    <t>Volks Electronics</t>
  </si>
  <si>
    <t>Desktop rental</t>
  </si>
  <si>
    <t>Asianet</t>
  </si>
  <si>
    <t>Internet Services</t>
  </si>
  <si>
    <t>Quarterly</t>
  </si>
  <si>
    <t>Stationary</t>
  </si>
  <si>
    <t>Dr Anandam</t>
  </si>
  <si>
    <t>House Rent</t>
  </si>
  <si>
    <t>BSNL</t>
  </si>
  <si>
    <t>Land Line</t>
  </si>
  <si>
    <t>KSEB</t>
  </si>
  <si>
    <t>Electricity Bill</t>
  </si>
  <si>
    <t>KWA</t>
  </si>
  <si>
    <t>Water Bill</t>
  </si>
  <si>
    <t>Subramania Industries</t>
  </si>
  <si>
    <t>DG AMC</t>
  </si>
  <si>
    <t>Half Yearly</t>
  </si>
  <si>
    <t>Imprest</t>
  </si>
  <si>
    <t>Monthly Imprest</t>
  </si>
  <si>
    <t>Geejey Solutions</t>
  </si>
  <si>
    <t>Epabx AMC</t>
  </si>
  <si>
    <t>VRS infosystems</t>
  </si>
  <si>
    <t>Tally Software Renewal</t>
  </si>
  <si>
    <t>Annualy</t>
  </si>
  <si>
    <t>M/sArmtech Computer Services</t>
  </si>
  <si>
    <t>CAMC computer hardware</t>
  </si>
  <si>
    <t>Nu aire</t>
  </si>
  <si>
    <t>AC AMC</t>
  </si>
  <si>
    <t>Miscellaneous</t>
  </si>
  <si>
    <t>Repair &amp; Maintenance</t>
  </si>
  <si>
    <t>Microsoft 365</t>
  </si>
  <si>
    <t>Software</t>
  </si>
  <si>
    <t>Asterisk</t>
  </si>
  <si>
    <t>Photocopier (Admin &amp; DVP)</t>
  </si>
  <si>
    <t>Indian Postal Department</t>
  </si>
  <si>
    <t>Speed post</t>
  </si>
  <si>
    <t>Pradeep Kumar Cost Accountant</t>
  </si>
  <si>
    <t>Financial Consultant</t>
  </si>
  <si>
    <t>Accounts Assistance</t>
  </si>
  <si>
    <t>Vismaya Services</t>
  </si>
  <si>
    <t>HK salary</t>
  </si>
  <si>
    <t>My city salary</t>
  </si>
  <si>
    <t>Naveen Security Services</t>
  </si>
  <si>
    <t>Security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</si>
</sst>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4">
    <font>
      <sz val="11"/>
      <color theme="1"/>
      <name val="Calibri"/>
      <scheme val="minor"/>
    </font>
    <font>
      <sz val="12"/>
      <color rgb="FF000000"/>
      <name val="Arial Narrow"/>
    </font>
    <font>
      <sz val="12"/>
      <color theme="1"/>
      <name val="Arial Narrow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1" fillId="3" borderId="2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4B084"/>
          <bgColor rgb="FFF4B08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PENSE-%20MASTER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 sheet"/>
      <sheetName val="HMA HR REVNUE SHEET"/>
      <sheetName val="admin Sheet2"/>
      <sheetName val="admin Sheet3"/>
      <sheetName val="responsiblity"/>
      <sheetName val="MANPOWER"/>
      <sheetName val="PROJECT SHEET"/>
      <sheetName val="Sheet2"/>
      <sheetName val="Sheet3"/>
      <sheetName val="MASTER FILE"/>
      <sheetName val="AUGUST 2025 ADMIN EXPENSES"/>
      <sheetName val="SEPTEMBER 2025 ADMIN EXPENSES"/>
      <sheetName val="PROJECT MASTER FILE"/>
      <sheetName val="PROJECT MASTER FILE - COPY"/>
      <sheetName val="CORE MANPOWER"/>
      <sheetName val="PROJECT MANPOWER"/>
      <sheetName val="JUNE PROJECT MANPOWER"/>
      <sheetName val="JULY 2025 ADMIN EXPENSES"/>
      <sheetName val="HEKSY"/>
      <sheetName val="MANJUSHA"/>
      <sheetName val="VISHNU"/>
      <sheetName val="ANAKHA JOY"/>
      <sheetName val="SOUMYA S K"/>
      <sheetName val="VIGNESH KUMAR"/>
      <sheetName val="ASHITHA VINS"/>
      <sheetName val="SAVITHA Y"/>
      <sheetName val="SILPA P L"/>
      <sheetName val="GAYATHRI VIJAY"/>
      <sheetName val="SAKSHI BALRAM SAVRE"/>
      <sheetName val="CHAITRA"/>
      <sheetName val="Monali"/>
      <sheetName val="RAKHEE"/>
      <sheetName val="JAYALEKSHMI J"/>
      <sheetName val="SUSHILA"/>
      <sheetName val="SYAMILI"/>
      <sheetName val="NEELIMA K N"/>
      <sheetName val="SAIDALI SAFAR"/>
      <sheetName val="TITU S JAYAN"/>
      <sheetName val="DHANYA B L"/>
      <sheetName val="MARIYATHUL HIBITHYA"/>
      <sheetName val="RUKSANA BEEGUM"/>
      <sheetName val="ASHWINI RANJANE"/>
      <sheetName val="SWATHY KRISHNA S"/>
      <sheetName val="ANJALI PRAKASH K"/>
      <sheetName val="AJILA MOHAN N J"/>
      <sheetName val="ARATHY A S KUMAR"/>
      <sheetName val="JUHAINA C K"/>
      <sheetName val="NAVYA M"/>
      <sheetName val="GOKUL V"/>
      <sheetName val="ALKA WADHWA"/>
      <sheetName val="ANJALY V"/>
      <sheetName val="ANJALY A S"/>
      <sheetName val="RAKHI MOHAN"/>
      <sheetName val="ABHIRAMI N A "/>
      <sheetName val="SARIKA P S KRISHNA"/>
      <sheetName val="BHAVYA R J"/>
      <sheetName val="JESNA C"/>
      <sheetName val="RASNA K S"/>
      <sheetName val="LENITA  G LAWRENCE"/>
      <sheetName val="DEVIKA PRASAD"/>
      <sheetName val="JAYALAKSHMI M J"/>
      <sheetName val="ARJUNA V NATH"/>
      <sheetName val="K ANAKHA SOMAN"/>
      <sheetName val="JITHIN DOMNIC"/>
      <sheetName val="DIVYA VINOD"/>
      <sheetName val="SHERIN JACOB"/>
      <sheetName val="REJITHA RAVI"/>
    </sheetNames>
    <sheetDataSet>
      <sheetData sheetId="0"/>
      <sheetData sheetId="1">
        <row r="6">
          <cell r="J6">
            <v>60000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O4">
            <v>0</v>
          </cell>
        </row>
        <row r="5">
          <cell r="O5">
            <v>0</v>
          </cell>
        </row>
        <row r="17">
          <cell r="O17">
            <v>11200.25</v>
          </cell>
        </row>
        <row r="18">
          <cell r="O18">
            <v>0</v>
          </cell>
        </row>
        <row r="30">
          <cell r="O30">
            <v>11200.25</v>
          </cell>
        </row>
        <row r="31">
          <cell r="O31">
            <v>0</v>
          </cell>
        </row>
        <row r="43">
          <cell r="O43">
            <v>11200.25</v>
          </cell>
        </row>
        <row r="44">
          <cell r="O44">
            <v>0</v>
          </cell>
        </row>
        <row r="56">
          <cell r="O56">
            <v>0</v>
          </cell>
        </row>
        <row r="57">
          <cell r="O57">
            <v>0</v>
          </cell>
        </row>
        <row r="69">
          <cell r="O69">
            <v>0</v>
          </cell>
        </row>
        <row r="70">
          <cell r="O70">
            <v>0</v>
          </cell>
        </row>
        <row r="82">
          <cell r="O82">
            <v>11200.25</v>
          </cell>
        </row>
        <row r="83">
          <cell r="O83">
            <v>0</v>
          </cell>
        </row>
        <row r="95">
          <cell r="O95">
            <v>0</v>
          </cell>
        </row>
        <row r="96">
          <cell r="O96">
            <v>0</v>
          </cell>
        </row>
        <row r="108">
          <cell r="O108">
            <v>0</v>
          </cell>
        </row>
        <row r="109">
          <cell r="O109">
            <v>0</v>
          </cell>
        </row>
        <row r="121">
          <cell r="O121">
            <v>8333.3333333333339</v>
          </cell>
        </row>
        <row r="122">
          <cell r="O122">
            <v>8333.3333333333339</v>
          </cell>
        </row>
      </sheetData>
      <sheetData sheetId="14">
        <row r="2">
          <cell r="AF2" t="str">
            <v>HLL Malappuram</v>
          </cell>
          <cell r="AG2" t="str">
            <v>Power Grid Corporation of India Limited - Yelahanka, Bangalore</v>
          </cell>
          <cell r="AH2" t="str">
            <v>Cochin Shipyard Limited - Andaman</v>
          </cell>
          <cell r="AI2" t="str">
            <v>IOCL - Panipat</v>
          </cell>
          <cell r="AJ2" t="str">
            <v>HLL Cotton Hill, Trivandrum</v>
          </cell>
          <cell r="AK2" t="str">
            <v>Swasthya-An innovative behaviour change programme for Aneamia in women of reproductive age</v>
          </cell>
          <cell r="AL2" t="str">
            <v>Counselling support for transgender individuals-pre and post surgery and non surgical pathways in gender transition</v>
          </cell>
          <cell r="AM2" t="str">
            <v>Inclusive community mental health initiative in Wayanad district</v>
          </cell>
          <cell r="AN2" t="str">
            <v>My City</v>
          </cell>
          <cell r="AO2" t="str">
            <v>Exploring the correlation and Diagnostic potential of Menstrual Blood</v>
          </cell>
          <cell r="AP2" t="str">
            <v>HLL Maharashtra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U1002"/>
  <sheetViews>
    <sheetView tabSelected="1" topLeftCell="W1" workbookViewId="0">
      <selection activeCell="I3" sqref="I3"/>
    </sheetView>
  </sheetViews>
  <sheetFormatPr defaultColWidth="14.42578125" defaultRowHeight="15" customHeight="1"/>
  <cols>
    <col min="1" max="1" width="10" style="8" customWidth="1"/>
    <col min="2" max="2" width="21.42578125" style="8" customWidth="1"/>
    <col min="3" max="3" width="23" style="8" customWidth="1"/>
    <col min="4" max="4" width="11.5703125" style="8" customWidth="1"/>
    <col min="5" max="5" width="10.7109375" style="8" customWidth="1"/>
    <col min="6" max="6" width="11.42578125" style="8" customWidth="1"/>
    <col min="7" max="8" width="7.42578125" style="8" customWidth="1"/>
    <col min="9" max="9" width="15.42578125" style="8" customWidth="1"/>
    <col min="10" max="10" width="14.7109375" style="8" customWidth="1"/>
    <col min="11" max="11" width="12.5703125" style="8" customWidth="1"/>
    <col min="12" max="12" width="11.5703125" style="8" customWidth="1"/>
    <col min="13" max="13" width="14.28515625" style="8" customWidth="1"/>
    <col min="14" max="14" width="16.42578125" style="8" customWidth="1"/>
    <col min="15" max="15" width="19.28515625" style="8" customWidth="1"/>
    <col min="16" max="16" width="14" style="8" customWidth="1"/>
    <col min="17" max="17" width="10.7109375" style="8" customWidth="1"/>
    <col min="18" max="18" width="16" style="8" customWidth="1"/>
    <col min="19" max="23" width="15.140625" style="8" customWidth="1"/>
    <col min="24" max="24" width="17.28515625" style="8" customWidth="1"/>
    <col min="25" max="25" width="11.5703125" style="8" customWidth="1"/>
    <col min="26" max="26" width="11.85546875" style="8" customWidth="1"/>
    <col min="27" max="27" width="14.85546875" style="8" customWidth="1"/>
    <col min="28" max="28" width="17.7109375" style="8" customWidth="1"/>
    <col min="29" max="29" width="15.85546875" style="8" customWidth="1"/>
    <col min="30" max="30" width="15" style="8" customWidth="1"/>
    <col min="31" max="31" width="12.42578125" style="8" customWidth="1"/>
    <col min="32" max="32" width="15.140625" style="8" customWidth="1"/>
    <col min="33" max="33" width="14" style="8" customWidth="1"/>
    <col min="34" max="34" width="11.42578125" style="8" customWidth="1"/>
    <col min="35" max="35" width="9.85546875" style="8" customWidth="1"/>
    <col min="36" max="47" width="9.28515625" style="8" customWidth="1"/>
    <col min="48" max="16384" width="14.42578125" style="8"/>
  </cols>
  <sheetData>
    <row r="1" spans="1:47" ht="15.75" customHeight="1">
      <c r="A1" s="1"/>
      <c r="B1" s="1"/>
      <c r="C1" s="1"/>
      <c r="D1" s="1"/>
      <c r="E1" s="1"/>
      <c r="F1" s="2"/>
      <c r="G1" s="3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2"/>
      <c r="W1" s="4" t="s">
        <v>1</v>
      </c>
      <c r="X1" s="5"/>
      <c r="Y1" s="5"/>
      <c r="Z1" s="5"/>
      <c r="AA1" s="5"/>
      <c r="AB1" s="5"/>
      <c r="AC1" s="5"/>
      <c r="AD1" s="5"/>
      <c r="AE1" s="5"/>
      <c r="AF1" s="5"/>
      <c r="AG1" s="6"/>
      <c r="AH1" s="2" t="s">
        <v>2</v>
      </c>
      <c r="AI1" s="2" t="s">
        <v>3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47" ht="15.7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 t="s">
        <v>9</v>
      </c>
      <c r="G2" s="2" t="s">
        <v>10</v>
      </c>
      <c r="H2" s="2"/>
      <c r="I2" s="2" t="str">
        <f>'[1]CORE MANPOWER'!AF2</f>
        <v>HLL Malappuram</v>
      </c>
      <c r="J2" s="2" t="str">
        <f>'[1]CORE MANPOWER'!AG2</f>
        <v>Power Grid Corporation of India Limited - Yelahanka, Bangalore</v>
      </c>
      <c r="K2" s="2" t="str">
        <f>'[1]CORE MANPOWER'!AH2</f>
        <v>Cochin Shipyard Limited - Andaman</v>
      </c>
      <c r="L2" s="2" t="str">
        <f>'[1]CORE MANPOWER'!AI2</f>
        <v>IOCL - Panipat</v>
      </c>
      <c r="M2" s="2" t="str">
        <f>'[1]CORE MANPOWER'!AJ2</f>
        <v>HLL Cotton Hill, Trivandrum</v>
      </c>
      <c r="N2" s="2" t="str">
        <f>'[1]CORE MANPOWER'!AK2</f>
        <v>Swasthya-An innovative behaviour change programme for Aneamia in women of reproductive age</v>
      </c>
      <c r="O2" s="2" t="str">
        <f>'[1]CORE MANPOWER'!AL2</f>
        <v>Counselling support for transgender individuals-pre and post surgery and non surgical pathways in gender transition</v>
      </c>
      <c r="P2" s="2" t="str">
        <f>'[1]CORE MANPOWER'!AM2</f>
        <v>Inclusive community mental health initiative in Wayanad district</v>
      </c>
      <c r="Q2" s="2" t="str">
        <f>'[1]CORE MANPOWER'!AN2</f>
        <v>My City</v>
      </c>
      <c r="R2" s="2" t="str">
        <f>'[1]CORE MANPOWER'!AO2</f>
        <v>Exploring the correlation and Diagnostic potential of Menstrual Blood</v>
      </c>
      <c r="S2" s="2" t="str">
        <f>'[1]CORE MANPOWER'!AP2</f>
        <v>HLL Maharashtra</v>
      </c>
      <c r="T2" s="2" t="s">
        <v>11</v>
      </c>
      <c r="U2" s="2" t="s">
        <v>12</v>
      </c>
      <c r="V2" s="2" t="s">
        <v>13</v>
      </c>
      <c r="W2" s="2" t="str">
        <f>'[1]CORE MANPOWER'!AF2</f>
        <v>HLL Malappuram</v>
      </c>
      <c r="X2" s="2" t="str">
        <f>'[1]CORE MANPOWER'!AG2</f>
        <v>Power Grid Corporation of India Limited - Yelahanka, Bangalore</v>
      </c>
      <c r="Y2" s="2" t="str">
        <f>'[1]CORE MANPOWER'!AH2</f>
        <v>Cochin Shipyard Limited - Andaman</v>
      </c>
      <c r="Z2" s="2" t="str">
        <f>'[1]CORE MANPOWER'!AI2</f>
        <v>IOCL - Panipat</v>
      </c>
      <c r="AA2" s="2" t="str">
        <f>'[1]CORE MANPOWER'!AJ2</f>
        <v>HLL Cotton Hill, Trivandrum</v>
      </c>
      <c r="AB2" s="2" t="str">
        <f>'[1]CORE MANPOWER'!AK2</f>
        <v>Swasthya-An innovative behaviour change programme for Aneamia in women of reproductive age</v>
      </c>
      <c r="AC2" s="2" t="str">
        <f>'[1]CORE MANPOWER'!AL2</f>
        <v>Counselling support for transgender individuals-pre and post surgery and non surgical pathways in gender transition</v>
      </c>
      <c r="AD2" s="2" t="str">
        <f>'[1]CORE MANPOWER'!AM2</f>
        <v>Inclusive community mental health initiative in Wayanad district</v>
      </c>
      <c r="AE2" s="2" t="str">
        <f>'[1]CORE MANPOWER'!AN2</f>
        <v>My City</v>
      </c>
      <c r="AF2" s="2" t="str">
        <f>'[1]CORE MANPOWER'!AO2</f>
        <v>Exploring the correlation and Diagnostic potential of Menstrual Blood</v>
      </c>
      <c r="AG2" s="2" t="str">
        <f>'[1]CORE MANPOWER'!AP2</f>
        <v>HLL Maharashtra</v>
      </c>
      <c r="AH2" s="2" t="s">
        <v>14</v>
      </c>
      <c r="AI2" s="2" t="s">
        <v>11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47" ht="15.75" customHeight="1">
      <c r="A3" s="9">
        <v>1</v>
      </c>
      <c r="B3" s="9" t="s">
        <v>15</v>
      </c>
      <c r="C3" s="9" t="s">
        <v>16</v>
      </c>
      <c r="D3" s="9" t="s">
        <v>17</v>
      </c>
      <c r="E3" s="9">
        <f>F3*12</f>
        <v>523932</v>
      </c>
      <c r="F3" s="10">
        <v>43661</v>
      </c>
      <c r="G3" s="10">
        <v>43661</v>
      </c>
      <c r="H3" s="11">
        <f>SUM(F3:F8)</f>
        <v>107841</v>
      </c>
      <c r="I3" s="12">
        <f>'[1]PROJECT MASTER FILE - COPY'!$O17/H3*F3</f>
        <v>4534.5843904451922</v>
      </c>
      <c r="J3" s="12">
        <f>'[1]PROJECT MASTER FILE - COPY'!O30/H3*F3</f>
        <v>4534.5843904451922</v>
      </c>
      <c r="K3" s="12">
        <f>'[1]PROJECT MASTER FILE - COPY'!O43/H3*F3</f>
        <v>4534.5843904451922</v>
      </c>
      <c r="L3" s="12">
        <f>'[1]PROJECT MASTER FILE - COPY'!O56/H3*F3</f>
        <v>0</v>
      </c>
      <c r="M3" s="12">
        <f>'[1]PROJECT MASTER FILE - COPY'!O69/H3*F3</f>
        <v>0</v>
      </c>
      <c r="N3" s="12">
        <f>'[1]PROJECT MASTER FILE - COPY'!O82/H3*F3</f>
        <v>4534.5843904451922</v>
      </c>
      <c r="O3" s="12">
        <f>'[1]PROJECT MASTER FILE - COPY'!O95/H3*F3</f>
        <v>0</v>
      </c>
      <c r="P3" s="12">
        <f>'[1]PROJECT MASTER FILE - COPY'!O108/H3*F3</f>
        <v>0</v>
      </c>
      <c r="Q3" s="12">
        <v>0</v>
      </c>
      <c r="R3" s="12">
        <f>'[1]PROJECT MASTER FILE - COPY'!O134/H3*F3</f>
        <v>0</v>
      </c>
      <c r="S3" s="12">
        <f>'[1]PROJECT MASTER FILE - COPY'!O4/H3*F3</f>
        <v>0</v>
      </c>
      <c r="T3" s="10">
        <f t="shared" ref="T3:T8" si="0">F3- (I3+J3+K3+L3+M3+N3+O3+P3+Q3+R3+S3)</f>
        <v>25522.662438219231</v>
      </c>
      <c r="U3" s="10">
        <f t="shared" ref="U3:U8" si="1">G3-F3</f>
        <v>0</v>
      </c>
      <c r="V3" s="13">
        <v>45839</v>
      </c>
      <c r="W3" s="12">
        <f>'[1]PROJECT MASTER FILE - COPY'!O18</f>
        <v>0</v>
      </c>
      <c r="X3" s="12">
        <f>'[1]PROJECT MASTER FILE - COPY'!O31</f>
        <v>0</v>
      </c>
      <c r="Y3" s="12">
        <f>'[1]PROJECT MASTER FILE - COPY'!O44</f>
        <v>0</v>
      </c>
      <c r="Z3" s="12">
        <f>'[1]PROJECT MASTER FILE - COPY'!O57</f>
        <v>0</v>
      </c>
      <c r="AA3" s="12">
        <f>'[1]PROJECT MASTER FILE - COPY'!O70</f>
        <v>0</v>
      </c>
      <c r="AB3" s="12">
        <f>'[1]PROJECT MASTER FILE - COPY'!O83</f>
        <v>0</v>
      </c>
      <c r="AC3" s="12">
        <f>'[1]PROJECT MASTER FILE - COPY'!O96</f>
        <v>0</v>
      </c>
      <c r="AD3" s="12">
        <f>'[1]PROJECT MASTER FILE - COPY'!O109</f>
        <v>0</v>
      </c>
      <c r="AE3" s="12">
        <f>'[1]PROJECT MASTER FILE - COPY'!O122</f>
        <v>8333.3333333333339</v>
      </c>
      <c r="AF3" s="12">
        <v>0</v>
      </c>
      <c r="AG3" s="12">
        <f>'[1]PROJECT MASTER FILE - COPY'!O5</f>
        <v>0</v>
      </c>
      <c r="AH3" s="12">
        <f>'[1]HMA HR REVNUE SHEET'!J6</f>
        <v>60000</v>
      </c>
      <c r="AI3" s="10">
        <f>G10-(W3+X3+Y3+AC3+AD3+AE3+AG3+AH3)</f>
        <v>50766.666666666672</v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5.75" customHeight="1">
      <c r="A4" s="9">
        <v>2</v>
      </c>
      <c r="B4" s="9" t="s">
        <v>18</v>
      </c>
      <c r="C4" s="9" t="s">
        <v>19</v>
      </c>
      <c r="D4" s="9" t="s">
        <v>17</v>
      </c>
      <c r="E4" s="9">
        <v>200000</v>
      </c>
      <c r="F4" s="10">
        <v>0</v>
      </c>
      <c r="G4" s="10"/>
      <c r="H4" s="15"/>
      <c r="I4" s="12">
        <f>'[1]PROJECT MASTER FILE - COPY'!O17/H3*F4</f>
        <v>0</v>
      </c>
      <c r="J4" s="12">
        <f>'[1]PROJECT MASTER FILE - COPY'!O30/H3*F4</f>
        <v>0</v>
      </c>
      <c r="K4" s="12">
        <f>'[1]PROJECT MASTER FILE - COPY'!O43/H3*F4</f>
        <v>0</v>
      </c>
      <c r="L4" s="12">
        <f>'[1]PROJECT MASTER FILE - COPY'!O56/H3*F4</f>
        <v>0</v>
      </c>
      <c r="M4" s="12">
        <f>'[1]PROJECT MASTER FILE - COPY'!O69/H3*F4</f>
        <v>0</v>
      </c>
      <c r="N4" s="12">
        <f>'[1]PROJECT MASTER FILE - COPY'!O82/H3*F4</f>
        <v>0</v>
      </c>
      <c r="O4" s="12">
        <f>'[1]PROJECT MASTER FILE - COPY'!O95/H3*F4</f>
        <v>0</v>
      </c>
      <c r="P4" s="12">
        <f>'[1]PROJECT MASTER FILE - COPY'!O108/H3*F4</f>
        <v>0</v>
      </c>
      <c r="Q4" s="12">
        <f>'[1]PROJECT MASTER FILE - COPY'!O121/H3*F4</f>
        <v>0</v>
      </c>
      <c r="R4" s="12">
        <f>'[1]PROJECT MASTER FILE - COPY'!O134/H3*F4</f>
        <v>0</v>
      </c>
      <c r="S4" s="12">
        <f>'[1]PROJECT MASTER FILE - COPY'!O4/H3*F4</f>
        <v>0</v>
      </c>
      <c r="T4" s="10">
        <f t="shared" si="0"/>
        <v>0</v>
      </c>
      <c r="U4" s="10">
        <f t="shared" si="1"/>
        <v>0</v>
      </c>
      <c r="V4" s="13">
        <v>45870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</row>
    <row r="5" spans="1:47" ht="15.75" customHeight="1">
      <c r="A5" s="9">
        <v>3</v>
      </c>
      <c r="B5" s="9" t="s">
        <v>20</v>
      </c>
      <c r="C5" s="9" t="s">
        <v>21</v>
      </c>
      <c r="D5" s="9" t="s">
        <v>17</v>
      </c>
      <c r="E5" s="9">
        <v>84000</v>
      </c>
      <c r="F5" s="10">
        <f>E5/12</f>
        <v>7000</v>
      </c>
      <c r="G5" s="10">
        <v>11391</v>
      </c>
      <c r="H5" s="15"/>
      <c r="I5" s="12">
        <f>'[1]PROJECT MASTER FILE - COPY'!O17/H3*F5</f>
        <v>727.01245351953332</v>
      </c>
      <c r="J5" s="12">
        <f>'[1]PROJECT MASTER FILE - COPY'!O30/H3*F5</f>
        <v>727.01245351953332</v>
      </c>
      <c r="K5" s="12">
        <f>'[1]PROJECT MASTER FILE - COPY'!O43/H3*F5</f>
        <v>727.01245351953332</v>
      </c>
      <c r="L5" s="12">
        <f>'[1]PROJECT MASTER FILE - COPY'!O56/H3*F5</f>
        <v>0</v>
      </c>
      <c r="M5" s="12">
        <f>'[1]PROJECT MASTER FILE - COPY'!O69/H3*F5</f>
        <v>0</v>
      </c>
      <c r="N5" s="12">
        <f>'[1]PROJECT MASTER FILE - COPY'!O82/H3*F5</f>
        <v>727.01245351953332</v>
      </c>
      <c r="O5" s="12">
        <f>'[1]PROJECT MASTER FILE - COPY'!O95/H3*F5</f>
        <v>0</v>
      </c>
      <c r="P5" s="12">
        <f>'[1]PROJECT MASTER FILE - COPY'!O108/H3*F5</f>
        <v>0</v>
      </c>
      <c r="Q5" s="12">
        <v>0</v>
      </c>
      <c r="R5" s="12">
        <f>'[1]PROJECT MASTER FILE - COPY'!O134/H3*F5</f>
        <v>0</v>
      </c>
      <c r="S5" s="12">
        <f>'[1]PROJECT MASTER FILE - COPY'!O4/H3*F5</f>
        <v>0</v>
      </c>
      <c r="T5" s="10">
        <f t="shared" si="0"/>
        <v>4091.9501859218667</v>
      </c>
      <c r="U5" s="10">
        <f t="shared" si="1"/>
        <v>4391</v>
      </c>
      <c r="V5" s="13">
        <v>45901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</row>
    <row r="6" spans="1:47" ht="15.75" customHeight="1">
      <c r="A6" s="9">
        <v>4</v>
      </c>
      <c r="B6" s="9" t="s">
        <v>22</v>
      </c>
      <c r="C6" s="9" t="s">
        <v>23</v>
      </c>
      <c r="D6" s="9" t="s">
        <v>17</v>
      </c>
      <c r="E6" s="9">
        <v>720000</v>
      </c>
      <c r="F6" s="10">
        <v>57180</v>
      </c>
      <c r="G6" s="10">
        <v>57180</v>
      </c>
      <c r="H6" s="15"/>
      <c r="I6" s="12">
        <f>'[1]PROJECT MASTER FILE - COPY'!O17/H3*F6</f>
        <v>5938.6531560352742</v>
      </c>
      <c r="J6" s="12">
        <f>'[1]PROJECT MASTER FILE - COPY'!O30/H3*F6</f>
        <v>5938.6531560352742</v>
      </c>
      <c r="K6" s="12">
        <f>'[1]PROJECT MASTER FILE - COPY'!O43/H3*F6</f>
        <v>5938.6531560352742</v>
      </c>
      <c r="L6" s="12">
        <f>'[1]PROJECT MASTER FILE - COPY'!O56/H3*F6</f>
        <v>0</v>
      </c>
      <c r="M6" s="12">
        <f>'[1]PROJECT MASTER FILE - COPY'!O69/H3*F6</f>
        <v>0</v>
      </c>
      <c r="N6" s="12">
        <f>'[1]PROJECT MASTER FILE - COPY'!O82/H3*F6</f>
        <v>5938.6531560352742</v>
      </c>
      <c r="O6" s="12">
        <f>'[1]PROJECT MASTER FILE - COPY'!O95/H3*F6</f>
        <v>0</v>
      </c>
      <c r="P6" s="12">
        <f>'[1]PROJECT MASTER FILE - COPY'!O108/H3*F6</f>
        <v>0</v>
      </c>
      <c r="Q6" s="12">
        <v>0</v>
      </c>
      <c r="R6" s="12">
        <f>'[1]PROJECT MASTER FILE - COPY'!O134/H3*F6</f>
        <v>0</v>
      </c>
      <c r="S6" s="12">
        <f>'[1]PROJECT MASTER FILE - COPY'!O4/H3*F6</f>
        <v>0</v>
      </c>
      <c r="T6" s="10">
        <f t="shared" si="0"/>
        <v>33425.387375858903</v>
      </c>
      <c r="U6" s="10">
        <f t="shared" si="1"/>
        <v>0</v>
      </c>
      <c r="V6" s="13">
        <v>45931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5.75" customHeight="1">
      <c r="A7" s="9">
        <v>5</v>
      </c>
      <c r="B7" s="9" t="s">
        <v>24</v>
      </c>
      <c r="C7" s="9" t="s">
        <v>25</v>
      </c>
      <c r="D7" s="9" t="s">
        <v>26</v>
      </c>
      <c r="E7" s="9">
        <v>56640</v>
      </c>
      <c r="F7" s="10">
        <v>0</v>
      </c>
      <c r="G7" s="10"/>
      <c r="H7" s="15"/>
      <c r="I7" s="12">
        <f>'[1]PROJECT MASTER FILE - COPY'!O17/H3*F7</f>
        <v>0</v>
      </c>
      <c r="J7" s="12">
        <f>'[1]PROJECT MASTER FILE - COPY'!O30/H3*F7</f>
        <v>0</v>
      </c>
      <c r="K7" s="12">
        <f>'[1]PROJECT MASTER FILE - COPY'!O43/H3*F7</f>
        <v>0</v>
      </c>
      <c r="L7" s="12">
        <f>'[1]PROJECT MASTER FILE - COPY'!O56/H3*F7</f>
        <v>0</v>
      </c>
      <c r="M7" s="12">
        <f>'[1]PROJECT MASTER FILE - COPY'!O69/H3*F7</f>
        <v>0</v>
      </c>
      <c r="N7" s="12">
        <f>'[1]PROJECT MASTER FILE - COPY'!O82/H3*F7</f>
        <v>0</v>
      </c>
      <c r="O7" s="12">
        <f>'[1]PROJECT MASTER FILE - COPY'!O95/H3*F7</f>
        <v>0</v>
      </c>
      <c r="P7" s="12">
        <f>'[1]PROJECT MASTER FILE - COPY'!O108/H3*F7</f>
        <v>0</v>
      </c>
      <c r="Q7" s="12">
        <f>'[1]PROJECT MASTER FILE - COPY'!O121/H3*F7</f>
        <v>0</v>
      </c>
      <c r="R7" s="12">
        <f>'[1]PROJECT MASTER FILE - COPY'!O134/H3*F7</f>
        <v>0</v>
      </c>
      <c r="S7" s="12">
        <f>'[1]PROJECT MASTER FILE - COPY'!O4/H3*F7</f>
        <v>0</v>
      </c>
      <c r="T7" s="10">
        <f t="shared" si="0"/>
        <v>0</v>
      </c>
      <c r="U7" s="10">
        <f t="shared" si="1"/>
        <v>0</v>
      </c>
      <c r="V7" s="13">
        <v>45962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</row>
    <row r="8" spans="1:47" ht="15.75" customHeight="1">
      <c r="A8" s="9">
        <v>6</v>
      </c>
      <c r="B8" s="12" t="s">
        <v>27</v>
      </c>
      <c r="C8" s="12" t="s">
        <v>27</v>
      </c>
      <c r="D8" s="12"/>
      <c r="E8" s="12">
        <v>200000</v>
      </c>
      <c r="F8" s="12">
        <v>0</v>
      </c>
      <c r="G8" s="10">
        <v>13328</v>
      </c>
      <c r="H8" s="16"/>
      <c r="I8" s="12">
        <f>'[1]PROJECT MASTER FILE - COPY'!O17/H3*F8</f>
        <v>0</v>
      </c>
      <c r="J8" s="12">
        <f>'[1]PROJECT MASTER FILE - COPY'!O30/H3*F8</f>
        <v>0</v>
      </c>
      <c r="K8" s="12">
        <f>'[1]PROJECT MASTER FILE - COPY'!O43/H3*F8</f>
        <v>0</v>
      </c>
      <c r="L8" s="12">
        <f>'[1]PROJECT MASTER FILE - COPY'!O56/H3*F8</f>
        <v>0</v>
      </c>
      <c r="M8" s="12">
        <f>'[1]PROJECT MASTER FILE - COPY'!O69/H3*F8</f>
        <v>0</v>
      </c>
      <c r="N8" s="12">
        <f>'[1]PROJECT MASTER FILE - COPY'!O82/H3*F8</f>
        <v>0</v>
      </c>
      <c r="O8" s="12">
        <f>'[1]PROJECT MASTER FILE - COPY'!O95/H3*F8</f>
        <v>0</v>
      </c>
      <c r="P8" s="12">
        <f>'[1]PROJECT MASTER FILE - COPY'!O108/H3*F8</f>
        <v>0</v>
      </c>
      <c r="Q8" s="12">
        <f>'[1]PROJECT MASTER FILE - COPY'!O121/H3*F8</f>
        <v>0</v>
      </c>
      <c r="R8" s="12">
        <f>'[1]PROJECT MASTER FILE - COPY'!O134/H3*F8</f>
        <v>0</v>
      </c>
      <c r="S8" s="12">
        <f>'[1]PROJECT MASTER FILE - COPY'!O4/H3*F8</f>
        <v>0</v>
      </c>
      <c r="T8" s="12">
        <f t="shared" si="0"/>
        <v>0</v>
      </c>
      <c r="U8" s="10">
        <f t="shared" si="1"/>
        <v>13328</v>
      </c>
      <c r="V8" s="13">
        <v>45992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</row>
    <row r="9" spans="1:47" ht="15.75" customHeight="1">
      <c r="A9" s="17"/>
      <c r="B9" s="5"/>
      <c r="C9" s="5"/>
      <c r="D9" s="5"/>
      <c r="E9" s="5"/>
      <c r="F9" s="5"/>
      <c r="G9" s="6"/>
      <c r="H9" s="18"/>
      <c r="I9" s="19">
        <f t="shared" ref="I9:U9" si="2">SUM(I3:I8)</f>
        <v>11200.25</v>
      </c>
      <c r="J9" s="19">
        <f t="shared" si="2"/>
        <v>11200.25</v>
      </c>
      <c r="K9" s="19">
        <f t="shared" si="2"/>
        <v>11200.25</v>
      </c>
      <c r="L9" s="19">
        <f t="shared" si="2"/>
        <v>0</v>
      </c>
      <c r="M9" s="19">
        <f t="shared" si="2"/>
        <v>0</v>
      </c>
      <c r="N9" s="19">
        <f t="shared" si="2"/>
        <v>11200.25</v>
      </c>
      <c r="O9" s="19">
        <f t="shared" si="2"/>
        <v>0</v>
      </c>
      <c r="P9" s="19">
        <f t="shared" si="2"/>
        <v>0</v>
      </c>
      <c r="Q9" s="19">
        <f t="shared" si="2"/>
        <v>0</v>
      </c>
      <c r="R9" s="19">
        <f t="shared" si="2"/>
        <v>0</v>
      </c>
      <c r="S9" s="19">
        <f t="shared" si="2"/>
        <v>0</v>
      </c>
      <c r="T9" s="18">
        <f t="shared" si="2"/>
        <v>63040</v>
      </c>
      <c r="U9" s="18">
        <f t="shared" si="2"/>
        <v>17719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5.75" customHeight="1">
      <c r="A10" s="20">
        <v>7</v>
      </c>
      <c r="B10" s="20" t="s">
        <v>28</v>
      </c>
      <c r="C10" s="20" t="s">
        <v>29</v>
      </c>
      <c r="D10" s="20" t="s">
        <v>17</v>
      </c>
      <c r="E10" s="20">
        <v>1800000</v>
      </c>
      <c r="F10" s="18">
        <f t="shared" ref="F10:F21" si="3">E10/12</f>
        <v>150000</v>
      </c>
      <c r="G10" s="18">
        <v>119100</v>
      </c>
      <c r="H10" s="21">
        <f>SUM(F10:F28)</f>
        <v>601833.33333333337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</row>
    <row r="11" spans="1:47" ht="15.75" customHeight="1">
      <c r="A11" s="20">
        <v>8</v>
      </c>
      <c r="B11" s="20" t="s">
        <v>30</v>
      </c>
      <c r="C11" s="20" t="s">
        <v>31</v>
      </c>
      <c r="D11" s="20" t="s">
        <v>17</v>
      </c>
      <c r="E11" s="20">
        <v>24000</v>
      </c>
      <c r="F11" s="18">
        <f t="shared" si="3"/>
        <v>2000</v>
      </c>
      <c r="G11" s="18"/>
      <c r="H11" s="15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>
        <v>1974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</row>
    <row r="12" spans="1:47" ht="15.75" customHeight="1">
      <c r="A12" s="20">
        <v>9</v>
      </c>
      <c r="B12" s="20" t="s">
        <v>32</v>
      </c>
      <c r="C12" s="20" t="s">
        <v>33</v>
      </c>
      <c r="D12" s="20" t="s">
        <v>17</v>
      </c>
      <c r="E12" s="20">
        <v>264000</v>
      </c>
      <c r="F12" s="18">
        <f t="shared" si="3"/>
        <v>22000</v>
      </c>
      <c r="G12" s="18">
        <v>21303</v>
      </c>
      <c r="H12" s="15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>
        <v>21303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</row>
    <row r="13" spans="1:47" ht="15.75" customHeight="1">
      <c r="A13" s="20">
        <v>10</v>
      </c>
      <c r="B13" s="20" t="s">
        <v>34</v>
      </c>
      <c r="C13" s="20" t="s">
        <v>35</v>
      </c>
      <c r="D13" s="20" t="s">
        <v>17</v>
      </c>
      <c r="E13" s="20">
        <v>96000</v>
      </c>
      <c r="F13" s="18">
        <f t="shared" si="3"/>
        <v>8000</v>
      </c>
      <c r="G13" s="18"/>
      <c r="H13" s="15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</row>
    <row r="14" spans="1:47" ht="15.75" customHeight="1">
      <c r="A14" s="20">
        <v>11</v>
      </c>
      <c r="B14" s="20" t="s">
        <v>36</v>
      </c>
      <c r="C14" s="20" t="s">
        <v>37</v>
      </c>
      <c r="D14" s="20" t="s">
        <v>38</v>
      </c>
      <c r="E14" s="20">
        <v>10000</v>
      </c>
      <c r="F14" s="18">
        <f t="shared" si="3"/>
        <v>833.33333333333337</v>
      </c>
      <c r="G14" s="18"/>
      <c r="H14" s="15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</row>
    <row r="15" spans="1:47" ht="15.75" customHeight="1">
      <c r="A15" s="20">
        <v>12</v>
      </c>
      <c r="B15" s="20" t="s">
        <v>39</v>
      </c>
      <c r="C15" s="20" t="s">
        <v>40</v>
      </c>
      <c r="D15" s="20" t="s">
        <v>17</v>
      </c>
      <c r="E15" s="20">
        <v>120000</v>
      </c>
      <c r="F15" s="18">
        <f t="shared" si="3"/>
        <v>10000</v>
      </c>
      <c r="G15" s="18">
        <v>10000</v>
      </c>
      <c r="H15" s="15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</row>
    <row r="16" spans="1:47" ht="15.75" customHeight="1">
      <c r="A16" s="20">
        <v>13</v>
      </c>
      <c r="B16" s="20" t="s">
        <v>41</v>
      </c>
      <c r="C16" s="20" t="s">
        <v>42</v>
      </c>
      <c r="D16" s="20" t="s">
        <v>38</v>
      </c>
      <c r="E16" s="20">
        <v>8000</v>
      </c>
      <c r="F16" s="18">
        <f t="shared" si="3"/>
        <v>666.66666666666663</v>
      </c>
      <c r="G16" s="18"/>
      <c r="H16" s="15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>
        <v>4360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47" ht="15.75" customHeight="1">
      <c r="A17" s="20">
        <v>14</v>
      </c>
      <c r="B17" s="20" t="s">
        <v>43</v>
      </c>
      <c r="C17" s="20" t="s">
        <v>44</v>
      </c>
      <c r="D17" s="20" t="s">
        <v>45</v>
      </c>
      <c r="E17" s="20">
        <v>16000</v>
      </c>
      <c r="F17" s="18">
        <f t="shared" si="3"/>
        <v>1333.3333333333333</v>
      </c>
      <c r="G17" s="18"/>
      <c r="H17" s="15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</row>
    <row r="18" spans="1:47" ht="15.75" customHeight="1">
      <c r="A18" s="20">
        <v>15</v>
      </c>
      <c r="B18" s="20" t="s">
        <v>46</v>
      </c>
      <c r="C18" s="20" t="s">
        <v>47</v>
      </c>
      <c r="D18" s="20" t="s">
        <v>26</v>
      </c>
      <c r="E18" s="20">
        <v>15000</v>
      </c>
      <c r="F18" s="18">
        <f t="shared" si="3"/>
        <v>1250</v>
      </c>
      <c r="G18" s="18"/>
      <c r="H18" s="15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47" ht="15.75" customHeight="1">
      <c r="A19" s="20">
        <v>16</v>
      </c>
      <c r="B19" s="20" t="s">
        <v>48</v>
      </c>
      <c r="C19" s="20" t="s">
        <v>49</v>
      </c>
      <c r="D19" s="20" t="s">
        <v>26</v>
      </c>
      <c r="E19" s="20">
        <v>36000</v>
      </c>
      <c r="F19" s="18">
        <f t="shared" si="3"/>
        <v>3000</v>
      </c>
      <c r="G19" s="18"/>
      <c r="H19" s="15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</row>
    <row r="20" spans="1:47" ht="15.75" customHeight="1">
      <c r="A20" s="20">
        <v>17</v>
      </c>
      <c r="B20" s="20" t="s">
        <v>50</v>
      </c>
      <c r="C20" s="20" t="s">
        <v>51</v>
      </c>
      <c r="D20" s="20" t="s">
        <v>17</v>
      </c>
      <c r="E20" s="20">
        <v>50000</v>
      </c>
      <c r="F20" s="18">
        <f t="shared" si="3"/>
        <v>4166.666666666667</v>
      </c>
      <c r="G20" s="18"/>
      <c r="H20" s="15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  <row r="21" spans="1:47" ht="15.75" customHeight="1">
      <c r="A21" s="20">
        <v>18</v>
      </c>
      <c r="B21" s="20" t="s">
        <v>52</v>
      </c>
      <c r="C21" s="20" t="s">
        <v>53</v>
      </c>
      <c r="D21" s="20" t="s">
        <v>45</v>
      </c>
      <c r="E21" s="20">
        <v>7000</v>
      </c>
      <c r="F21" s="18">
        <f t="shared" si="3"/>
        <v>583.33333333333337</v>
      </c>
      <c r="G21" s="18"/>
      <c r="H21" s="15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</row>
    <row r="22" spans="1:47" ht="15.75" customHeight="1">
      <c r="A22" s="20">
        <v>19</v>
      </c>
      <c r="B22" s="20" t="s">
        <v>54</v>
      </c>
      <c r="C22" s="20" t="s">
        <v>55</v>
      </c>
      <c r="D22" s="20" t="s">
        <v>17</v>
      </c>
      <c r="E22" s="20">
        <v>60000</v>
      </c>
      <c r="F22" s="18">
        <v>5000</v>
      </c>
      <c r="G22" s="18">
        <v>4728</v>
      </c>
      <c r="H22" s="15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>
        <v>4728</v>
      </c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spans="1:47" ht="15.75" customHeight="1">
      <c r="A23" s="20">
        <v>20</v>
      </c>
      <c r="B23" s="20" t="s">
        <v>56</v>
      </c>
      <c r="C23" s="20" t="s">
        <v>57</v>
      </c>
      <c r="D23" s="20" t="s">
        <v>17</v>
      </c>
      <c r="E23" s="20">
        <v>120000</v>
      </c>
      <c r="F23" s="18">
        <f t="shared" ref="F23:F25" si="4">E23/12</f>
        <v>10000</v>
      </c>
      <c r="G23" s="18">
        <v>20000</v>
      </c>
      <c r="H23" s="15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20000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ht="15.75" customHeight="1">
      <c r="A24" s="20">
        <v>21</v>
      </c>
      <c r="B24" s="20" t="s">
        <v>58</v>
      </c>
      <c r="C24" s="20" t="s">
        <v>59</v>
      </c>
      <c r="D24" s="20" t="s">
        <v>17</v>
      </c>
      <c r="E24" s="20">
        <v>1296000</v>
      </c>
      <c r="F24" s="18">
        <f t="shared" si="4"/>
        <v>108000</v>
      </c>
      <c r="G24" s="18"/>
      <c r="H24" s="15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47" ht="15.75" customHeight="1">
      <c r="A25" s="20">
        <v>22</v>
      </c>
      <c r="B25" s="20" t="s">
        <v>58</v>
      </c>
      <c r="C25" s="20" t="s">
        <v>60</v>
      </c>
      <c r="D25" s="20" t="s">
        <v>17</v>
      </c>
      <c r="E25" s="20">
        <v>750000</v>
      </c>
      <c r="F25" s="18">
        <f t="shared" si="4"/>
        <v>62500</v>
      </c>
      <c r="G25" s="18"/>
      <c r="H25" s="15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47" ht="15.75" customHeight="1">
      <c r="A26" s="20">
        <v>23</v>
      </c>
      <c r="B26" s="19" t="s">
        <v>61</v>
      </c>
      <c r="C26" s="19" t="s">
        <v>62</v>
      </c>
      <c r="D26" s="19" t="s">
        <v>17</v>
      </c>
      <c r="E26" s="19">
        <v>600000</v>
      </c>
      <c r="F26" s="19">
        <v>50000</v>
      </c>
      <c r="G26" s="18">
        <v>46016</v>
      </c>
      <c r="H26" s="15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>
        <v>46016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47" ht="15.75" customHeight="1">
      <c r="A27" s="20">
        <v>24</v>
      </c>
      <c r="B27" s="19" t="s">
        <v>61</v>
      </c>
      <c r="C27" s="19" t="s">
        <v>63</v>
      </c>
      <c r="D27" s="19" t="s">
        <v>17</v>
      </c>
      <c r="E27" s="19">
        <v>810000</v>
      </c>
      <c r="F27" s="19">
        <v>67500</v>
      </c>
      <c r="G27" s="18">
        <v>66676</v>
      </c>
      <c r="H27" s="15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>
        <v>66676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 spans="1:47" ht="15.75" customHeight="1">
      <c r="A28" s="20">
        <v>25</v>
      </c>
      <c r="B28" s="19" t="s">
        <v>64</v>
      </c>
      <c r="C28" s="19" t="s">
        <v>65</v>
      </c>
      <c r="D28" s="19" t="s">
        <v>17</v>
      </c>
      <c r="E28" s="19">
        <f>F28*12</f>
        <v>1140000</v>
      </c>
      <c r="F28" s="19">
        <v>95000</v>
      </c>
      <c r="G28" s="18">
        <v>96550</v>
      </c>
      <c r="H28" s="16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>
        <v>96550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 spans="1:47" ht="15.75" customHeight="1">
      <c r="A29" s="7"/>
      <c r="B29" s="7"/>
      <c r="C29" s="7"/>
      <c r="D29" s="7"/>
      <c r="E29" s="7"/>
      <c r="F29" s="23"/>
      <c r="G29" s="23"/>
      <c r="H29" s="2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 spans="1:47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spans="1:47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spans="1:47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spans="1:47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spans="1:47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 spans="1:47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 spans="1:47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spans="1:4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 spans="1:47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spans="1:47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 spans="1:47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 spans="1:47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spans="1:47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spans="1:47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1:47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spans="1:47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spans="1:47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spans="1: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spans="1:47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 spans="1:47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spans="1:47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spans="1:47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spans="1:47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spans="1:47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spans="1:47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spans="1:47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spans="1:47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spans="1:4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spans="1:47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spans="1:47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spans="1:47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spans="1:47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spans="1:47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spans="1:47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spans="1:47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spans="1:47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spans="1:47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spans="1:4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 spans="1:47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spans="1:47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spans="1:47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 spans="1:47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 spans="1:47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spans="1:47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spans="1:47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spans="1:47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spans="1:47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spans="1:4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 spans="1:47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 spans="1:47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 spans="1:47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</row>
    <row r="81" spans="1:47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 spans="1:47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 spans="1:47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</row>
    <row r="84" spans="1:47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 spans="1:47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</row>
    <row r="86" spans="1:47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</row>
    <row r="87" spans="1:4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</row>
    <row r="88" spans="1:47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</row>
    <row r="89" spans="1:47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</row>
    <row r="90" spans="1:47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 spans="1:47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</row>
    <row r="92" spans="1:47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 spans="1:47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</row>
    <row r="94" spans="1:47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</row>
    <row r="95" spans="1:47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 spans="1:47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 spans="1:4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 spans="1:47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</row>
    <row r="99" spans="1:47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</row>
    <row r="100" spans="1:47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</row>
    <row r="101" spans="1:47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</row>
    <row r="102" spans="1:47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</row>
    <row r="103" spans="1:47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</row>
    <row r="104" spans="1:47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</row>
    <row r="105" spans="1:47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 spans="1:47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</row>
    <row r="107" spans="1:4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</row>
    <row r="108" spans="1:47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</row>
    <row r="109" spans="1:47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</row>
    <row r="110" spans="1:47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 spans="1:47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</row>
    <row r="112" spans="1:47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spans="1:47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</row>
    <row r="114" spans="1:47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</row>
    <row r="115" spans="1:47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</row>
    <row r="116" spans="1:47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</row>
    <row r="117" spans="1:4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</row>
    <row r="118" spans="1:47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</row>
    <row r="119" spans="1:47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 spans="1:47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 spans="1:47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 spans="1:47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 spans="1:47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 spans="1:47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 spans="1:47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 spans="1:47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  <row r="127" spans="1:4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</row>
    <row r="128" spans="1:47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</row>
    <row r="129" spans="1:47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</row>
    <row r="130" spans="1:47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  <row r="131" spans="1:47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</row>
    <row r="132" spans="1:47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</row>
    <row r="133" spans="1:47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</row>
    <row r="134" spans="1:47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</row>
    <row r="135" spans="1:47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</row>
    <row r="136" spans="1:47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</row>
    <row r="137" spans="1:4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</row>
    <row r="138" spans="1:47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</row>
    <row r="139" spans="1:47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</row>
    <row r="140" spans="1:47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</row>
    <row r="141" spans="1:47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</row>
    <row r="142" spans="1:47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</row>
    <row r="143" spans="1:47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</row>
    <row r="144" spans="1:47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5" spans="1:47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</row>
    <row r="146" spans="1:47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</row>
    <row r="147" spans="1: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</row>
    <row r="148" spans="1:47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</row>
    <row r="149" spans="1:47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</row>
    <row r="150" spans="1:47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  <row r="151" spans="1:47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</row>
    <row r="152" spans="1:47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</row>
    <row r="153" spans="1:47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</row>
    <row r="154" spans="1:47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</row>
    <row r="155" spans="1:47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</row>
    <row r="156" spans="1:47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</row>
    <row r="157" spans="1:4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</row>
    <row r="158" spans="1:47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</row>
    <row r="159" spans="1:47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</row>
    <row r="160" spans="1:47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</row>
    <row r="161" spans="1:47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</row>
    <row r="162" spans="1:47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</row>
    <row r="163" spans="1:47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</row>
    <row r="164" spans="1:47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</row>
    <row r="165" spans="1:47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</row>
    <row r="166" spans="1:47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</row>
    <row r="167" spans="1:4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</row>
    <row r="168" spans="1:47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</row>
    <row r="169" spans="1:47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</row>
    <row r="170" spans="1:47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</row>
    <row r="171" spans="1:47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</row>
    <row r="172" spans="1:47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</row>
    <row r="173" spans="1:47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</row>
    <row r="174" spans="1:47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</row>
    <row r="175" spans="1:47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</row>
    <row r="176" spans="1:47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</row>
    <row r="177" spans="1:4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</row>
    <row r="178" spans="1:47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</row>
    <row r="179" spans="1:47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</row>
    <row r="180" spans="1:47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</row>
    <row r="181" spans="1:47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</row>
    <row r="182" spans="1:47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</row>
    <row r="183" spans="1:47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</row>
    <row r="184" spans="1:47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</row>
    <row r="185" spans="1:47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</row>
    <row r="186" spans="1:47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</row>
    <row r="187" spans="1:4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</row>
    <row r="188" spans="1:47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</row>
    <row r="189" spans="1:47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</row>
    <row r="190" spans="1:47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</row>
    <row r="191" spans="1:47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</row>
    <row r="192" spans="1:47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</row>
    <row r="193" spans="1:47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</row>
    <row r="194" spans="1:47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</row>
    <row r="195" spans="1:47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</row>
    <row r="196" spans="1:47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</row>
    <row r="197" spans="1:4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</row>
    <row r="198" spans="1:47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</row>
    <row r="199" spans="1:47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</row>
    <row r="200" spans="1:47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</row>
    <row r="201" spans="1:47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</row>
    <row r="202" spans="1:47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</row>
    <row r="203" spans="1:47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</row>
    <row r="204" spans="1:47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</row>
    <row r="205" spans="1:47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</row>
    <row r="206" spans="1:47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</row>
    <row r="207" spans="1:4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</row>
    <row r="208" spans="1:47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</row>
    <row r="209" spans="1:47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</row>
    <row r="210" spans="1:47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</row>
    <row r="211" spans="1:47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</row>
    <row r="212" spans="1:47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</row>
    <row r="213" spans="1:47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</row>
    <row r="214" spans="1:47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</row>
    <row r="215" spans="1:47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</row>
    <row r="216" spans="1:47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</row>
    <row r="217" spans="1:4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</row>
    <row r="218" spans="1:47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</row>
    <row r="219" spans="1:47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</row>
    <row r="220" spans="1:47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</row>
    <row r="221" spans="1:47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</row>
    <row r="222" spans="1:47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</row>
    <row r="223" spans="1:47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</row>
    <row r="224" spans="1:47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</row>
    <row r="225" spans="1:47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</row>
    <row r="226" spans="1:47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</row>
    <row r="227" spans="1:4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</row>
    <row r="228" spans="1:47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</row>
    <row r="229" spans="1:47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</row>
    <row r="230" spans="1:47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</row>
    <row r="231" spans="1:47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</row>
    <row r="232" spans="1:47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</row>
    <row r="233" spans="1:47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</row>
    <row r="234" spans="1:47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</row>
    <row r="235" spans="1:47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</row>
    <row r="236" spans="1:47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</row>
    <row r="237" spans="1:4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</row>
    <row r="238" spans="1:47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</row>
    <row r="239" spans="1:47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</row>
    <row r="240" spans="1:47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</row>
    <row r="241" spans="1:47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</row>
    <row r="242" spans="1:47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</row>
    <row r="243" spans="1:47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</row>
    <row r="244" spans="1:47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</row>
    <row r="245" spans="1:47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</row>
    <row r="246" spans="1:47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</row>
    <row r="247" spans="1: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</row>
    <row r="248" spans="1:47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</row>
    <row r="249" spans="1:47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</row>
    <row r="250" spans="1:47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</row>
    <row r="251" spans="1:47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</row>
    <row r="252" spans="1:47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</row>
    <row r="253" spans="1:47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</row>
    <row r="254" spans="1:47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</row>
    <row r="255" spans="1:47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</row>
    <row r="256" spans="1:47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</row>
    <row r="257" spans="1:4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</row>
    <row r="258" spans="1:47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</row>
    <row r="259" spans="1:47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</row>
    <row r="260" spans="1:47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</row>
    <row r="261" spans="1:47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</row>
    <row r="262" spans="1:47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</row>
    <row r="263" spans="1:47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</row>
    <row r="264" spans="1:47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</row>
    <row r="265" spans="1:47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</row>
    <row r="266" spans="1:47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</row>
    <row r="267" spans="1:4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</row>
    <row r="268" spans="1:47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</row>
    <row r="269" spans="1:47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</row>
    <row r="270" spans="1:47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</row>
    <row r="271" spans="1:47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</row>
    <row r="272" spans="1:47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</row>
    <row r="273" spans="1:47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</row>
    <row r="274" spans="1:47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</row>
    <row r="275" spans="1:47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</row>
    <row r="276" spans="1:47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</row>
    <row r="277" spans="1:4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</row>
    <row r="278" spans="1:47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</row>
    <row r="279" spans="1:47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</row>
    <row r="280" spans="1:47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</row>
    <row r="281" spans="1:47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</row>
    <row r="282" spans="1:47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</row>
    <row r="283" spans="1:47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</row>
    <row r="284" spans="1:47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</row>
    <row r="285" spans="1:47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</row>
    <row r="286" spans="1:47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</row>
    <row r="287" spans="1:4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</row>
    <row r="288" spans="1:47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</row>
    <row r="289" spans="1:47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</row>
    <row r="290" spans="1:47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</row>
    <row r="291" spans="1:47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</row>
    <row r="292" spans="1:47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</row>
    <row r="293" spans="1:47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</row>
    <row r="294" spans="1:47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</row>
    <row r="295" spans="1:47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</row>
    <row r="296" spans="1:47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</row>
    <row r="297" spans="1:4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</row>
    <row r="298" spans="1:47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</row>
    <row r="299" spans="1:47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</row>
    <row r="300" spans="1:47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</row>
    <row r="301" spans="1:47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</row>
    <row r="302" spans="1:47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</row>
    <row r="303" spans="1:47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</row>
    <row r="304" spans="1:47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</row>
    <row r="305" spans="1:47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</row>
    <row r="306" spans="1:47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</row>
    <row r="307" spans="1:4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</row>
    <row r="308" spans="1:47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</row>
    <row r="309" spans="1:47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</row>
    <row r="310" spans="1:47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</row>
    <row r="311" spans="1:47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</row>
    <row r="312" spans="1:47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</row>
    <row r="313" spans="1:47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</row>
    <row r="314" spans="1:47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</row>
    <row r="315" spans="1:47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</row>
    <row r="316" spans="1:47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</row>
    <row r="317" spans="1:4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</row>
    <row r="318" spans="1:47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</row>
    <row r="319" spans="1:47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</row>
    <row r="320" spans="1:47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</row>
    <row r="321" spans="1:47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</row>
    <row r="322" spans="1:47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</row>
    <row r="323" spans="1:47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</row>
    <row r="324" spans="1:47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</row>
    <row r="325" spans="1:47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</row>
    <row r="326" spans="1:47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</row>
    <row r="327" spans="1:4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</row>
    <row r="328" spans="1:47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</row>
    <row r="329" spans="1:47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</row>
    <row r="330" spans="1:47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</row>
    <row r="331" spans="1:47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</row>
    <row r="332" spans="1:47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</row>
    <row r="333" spans="1:47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</row>
    <row r="334" spans="1:47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</row>
    <row r="335" spans="1:47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</row>
    <row r="336" spans="1:47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</row>
    <row r="337" spans="1:4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</row>
    <row r="338" spans="1:47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</row>
    <row r="339" spans="1:47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7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7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7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7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7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7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7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7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7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7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7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7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</row>
    <row r="465" spans="1:47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</row>
    <row r="466" spans="1:47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</row>
    <row r="491" spans="1:47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</row>
    <row r="492" spans="1:47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</row>
    <row r="493" spans="1:47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</row>
    <row r="494" spans="1:47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</row>
    <row r="495" spans="1:47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</row>
    <row r="496" spans="1:47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</row>
    <row r="497" spans="1:4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</row>
    <row r="498" spans="1:47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</row>
    <row r="499" spans="1:47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</row>
    <row r="500" spans="1:47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</row>
    <row r="501" spans="1:47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</row>
    <row r="502" spans="1:47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</row>
    <row r="503" spans="1:47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</row>
    <row r="504" spans="1:47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</row>
    <row r="505" spans="1:47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</row>
    <row r="506" spans="1:47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</row>
    <row r="507" spans="1:4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</row>
    <row r="508" spans="1:47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</row>
    <row r="509" spans="1:47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</row>
    <row r="510" spans="1:47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</row>
    <row r="511" spans="1:47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</row>
    <row r="512" spans="1:47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</row>
    <row r="513" spans="1:47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</row>
    <row r="514" spans="1:47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</row>
    <row r="515" spans="1:47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</row>
    <row r="516" spans="1:47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</row>
    <row r="517" spans="1:4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</row>
    <row r="518" spans="1:47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</row>
    <row r="519" spans="1:47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</row>
    <row r="520" spans="1:47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</row>
    <row r="521" spans="1:47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</row>
    <row r="522" spans="1:47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</row>
    <row r="523" spans="1:47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</row>
    <row r="524" spans="1:47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</row>
    <row r="525" spans="1:47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</row>
    <row r="526" spans="1:47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</row>
    <row r="527" spans="1:4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</row>
    <row r="528" spans="1:47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</row>
    <row r="529" spans="1:47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</row>
    <row r="530" spans="1:47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</row>
    <row r="531" spans="1:47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</row>
    <row r="532" spans="1:47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</row>
    <row r="533" spans="1:47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</row>
    <row r="534" spans="1:47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</row>
    <row r="535" spans="1:47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</row>
    <row r="536" spans="1:47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</row>
    <row r="537" spans="1:4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</row>
    <row r="538" spans="1:47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</row>
    <row r="539" spans="1:47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</row>
    <row r="540" spans="1:47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</row>
    <row r="541" spans="1:47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</row>
    <row r="542" spans="1:47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</row>
    <row r="543" spans="1:47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</row>
    <row r="544" spans="1:47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</row>
    <row r="545" spans="1:47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</row>
    <row r="546" spans="1:47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</row>
    <row r="547" spans="1: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</row>
    <row r="548" spans="1:47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</row>
    <row r="549" spans="1:47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</row>
    <row r="550" spans="1:47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</row>
    <row r="551" spans="1:47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</row>
    <row r="552" spans="1:47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</row>
    <row r="553" spans="1:47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</row>
    <row r="554" spans="1:47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</row>
    <row r="555" spans="1:47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</row>
    <row r="556" spans="1:47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</row>
    <row r="557" spans="1:4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</row>
    <row r="558" spans="1:47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</row>
    <row r="559" spans="1:47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</row>
    <row r="560" spans="1:47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</row>
    <row r="561" spans="1:47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</row>
    <row r="562" spans="1:47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</row>
    <row r="563" spans="1:47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</row>
    <row r="564" spans="1:47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</row>
    <row r="565" spans="1:47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</row>
    <row r="566" spans="1:47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</row>
    <row r="567" spans="1:4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</row>
    <row r="568" spans="1:47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</row>
    <row r="569" spans="1:47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</row>
    <row r="570" spans="1:47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</row>
    <row r="571" spans="1:47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</row>
    <row r="572" spans="1:47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</row>
    <row r="573" spans="1:47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</row>
    <row r="574" spans="1:47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</row>
    <row r="575" spans="1:47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</row>
    <row r="576" spans="1:47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</row>
    <row r="577" spans="1:4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</row>
    <row r="578" spans="1:47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</row>
    <row r="579" spans="1:47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</row>
    <row r="580" spans="1:47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</row>
    <row r="581" spans="1:47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</row>
    <row r="582" spans="1:47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</row>
    <row r="583" spans="1:47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</row>
    <row r="584" spans="1:47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</row>
    <row r="585" spans="1:47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</row>
    <row r="586" spans="1:47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</row>
    <row r="587" spans="1:4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</row>
    <row r="588" spans="1:47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</row>
    <row r="589" spans="1:47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</row>
    <row r="590" spans="1:47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</row>
    <row r="591" spans="1:47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</row>
    <row r="592" spans="1:47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</row>
    <row r="593" spans="1:47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</row>
    <row r="594" spans="1:47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</row>
    <row r="595" spans="1:47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</row>
    <row r="596" spans="1:47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</row>
    <row r="597" spans="1:4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</row>
    <row r="598" spans="1:47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</row>
    <row r="599" spans="1:47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</row>
    <row r="600" spans="1:47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</row>
    <row r="601" spans="1:47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</row>
    <row r="602" spans="1:47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</row>
    <row r="603" spans="1:47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</row>
    <row r="604" spans="1:47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</row>
    <row r="605" spans="1:47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</row>
    <row r="606" spans="1:47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</row>
    <row r="607" spans="1:4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</row>
    <row r="608" spans="1:47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</row>
    <row r="609" spans="1:47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</row>
    <row r="610" spans="1:47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</row>
    <row r="611" spans="1:47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</row>
    <row r="612" spans="1:47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</row>
    <row r="613" spans="1:47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</row>
    <row r="614" spans="1:47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</row>
    <row r="615" spans="1:47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</row>
    <row r="616" spans="1:47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</row>
    <row r="617" spans="1:4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</row>
    <row r="618" spans="1:47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</row>
    <row r="619" spans="1:47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</row>
    <row r="620" spans="1:47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</row>
    <row r="621" spans="1:47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</row>
    <row r="622" spans="1:47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</row>
    <row r="623" spans="1:47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</row>
    <row r="624" spans="1:47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</row>
    <row r="625" spans="1:47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</row>
    <row r="626" spans="1:47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</row>
    <row r="627" spans="1:4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</row>
    <row r="628" spans="1:47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</row>
    <row r="629" spans="1:47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</row>
    <row r="630" spans="1:47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</row>
    <row r="631" spans="1:47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</row>
    <row r="632" spans="1:47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</row>
    <row r="633" spans="1:47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</row>
    <row r="634" spans="1:47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</row>
    <row r="635" spans="1:47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</row>
    <row r="636" spans="1:47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</row>
    <row r="637" spans="1:4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</row>
    <row r="638" spans="1:47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</row>
    <row r="639" spans="1:47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</row>
    <row r="640" spans="1:47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</row>
    <row r="641" spans="1:47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</row>
    <row r="642" spans="1:47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</row>
    <row r="643" spans="1:47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</row>
    <row r="644" spans="1:47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</row>
    <row r="645" spans="1:47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</row>
    <row r="646" spans="1:47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</row>
    <row r="647" spans="1: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</row>
    <row r="648" spans="1:47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</row>
    <row r="649" spans="1:47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</row>
    <row r="650" spans="1:47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</row>
    <row r="651" spans="1:47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</row>
    <row r="652" spans="1:47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</row>
    <row r="653" spans="1:47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</row>
    <row r="654" spans="1:47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</row>
    <row r="655" spans="1:47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</row>
    <row r="656" spans="1:47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</row>
    <row r="657" spans="1:4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</row>
    <row r="658" spans="1:47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</row>
    <row r="659" spans="1:47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</row>
    <row r="660" spans="1:47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</row>
    <row r="661" spans="1:47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</row>
    <row r="662" spans="1:47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</row>
    <row r="663" spans="1:47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</row>
    <row r="664" spans="1:47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</row>
    <row r="665" spans="1:47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</row>
    <row r="666" spans="1:47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</row>
    <row r="667" spans="1:4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</row>
    <row r="668" spans="1:47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</row>
    <row r="669" spans="1:47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</row>
    <row r="670" spans="1:47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</row>
    <row r="671" spans="1:47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</row>
    <row r="672" spans="1:47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</row>
    <row r="673" spans="1:47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</row>
    <row r="674" spans="1:47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</row>
    <row r="675" spans="1:47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</row>
    <row r="676" spans="1:47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</row>
    <row r="677" spans="1:4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</row>
    <row r="678" spans="1:47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</row>
    <row r="679" spans="1:47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</row>
    <row r="680" spans="1:47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</row>
    <row r="681" spans="1:47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</row>
    <row r="682" spans="1:47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</row>
    <row r="683" spans="1:47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</row>
    <row r="684" spans="1:47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</row>
    <row r="685" spans="1:47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</row>
    <row r="686" spans="1:47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</row>
    <row r="687" spans="1:4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</row>
    <row r="688" spans="1:47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</row>
    <row r="689" spans="1:47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</row>
    <row r="690" spans="1:47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</row>
    <row r="691" spans="1:47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</row>
    <row r="692" spans="1:47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</row>
    <row r="693" spans="1:47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</row>
    <row r="694" spans="1:47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</row>
    <row r="695" spans="1:47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</row>
    <row r="696" spans="1:47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</row>
    <row r="697" spans="1:4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</row>
    <row r="698" spans="1:47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</row>
    <row r="699" spans="1:47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</row>
    <row r="700" spans="1:47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</row>
    <row r="701" spans="1:47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</row>
    <row r="702" spans="1:47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</row>
    <row r="703" spans="1:47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</row>
    <row r="704" spans="1:47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</row>
    <row r="705" spans="1:47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</row>
    <row r="706" spans="1:47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</row>
    <row r="707" spans="1:4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</row>
    <row r="708" spans="1:47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</row>
    <row r="709" spans="1:47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</row>
    <row r="710" spans="1:47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</row>
    <row r="711" spans="1:47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</row>
    <row r="712" spans="1:47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</row>
    <row r="713" spans="1:47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</row>
    <row r="714" spans="1:47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</row>
    <row r="715" spans="1:47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</row>
    <row r="716" spans="1:47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</row>
    <row r="717" spans="1:4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</row>
    <row r="718" spans="1:47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</row>
    <row r="719" spans="1:47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</row>
    <row r="720" spans="1:47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</row>
    <row r="721" spans="1:47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</row>
    <row r="722" spans="1:47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</row>
    <row r="723" spans="1:47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</row>
    <row r="724" spans="1:47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</row>
    <row r="725" spans="1:47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</row>
    <row r="726" spans="1:47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</row>
    <row r="727" spans="1:4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</row>
    <row r="728" spans="1:47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</row>
    <row r="729" spans="1:47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</row>
    <row r="730" spans="1:47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</row>
    <row r="731" spans="1:47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</row>
    <row r="732" spans="1:47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</row>
    <row r="733" spans="1:47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</row>
    <row r="734" spans="1:47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</row>
    <row r="735" spans="1:47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</row>
    <row r="736" spans="1:47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</row>
    <row r="737" spans="1:4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</row>
    <row r="738" spans="1:47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</row>
    <row r="739" spans="1:47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</row>
    <row r="740" spans="1:47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</row>
    <row r="741" spans="1:47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</row>
    <row r="742" spans="1:47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</row>
    <row r="743" spans="1:47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</row>
    <row r="744" spans="1:47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</row>
    <row r="745" spans="1:47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</row>
    <row r="746" spans="1:47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</row>
    <row r="747" spans="1: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</row>
    <row r="748" spans="1:47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</row>
    <row r="749" spans="1:47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</row>
    <row r="750" spans="1:47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</row>
    <row r="751" spans="1:47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</row>
    <row r="752" spans="1:47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</row>
    <row r="753" spans="1:47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</row>
    <row r="754" spans="1:47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</row>
    <row r="755" spans="1:47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</row>
    <row r="756" spans="1:47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</row>
    <row r="757" spans="1:4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</row>
    <row r="758" spans="1:47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</row>
    <row r="759" spans="1:47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</row>
    <row r="760" spans="1:47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</row>
    <row r="761" spans="1:47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</row>
    <row r="762" spans="1:47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</row>
    <row r="763" spans="1:47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</row>
    <row r="764" spans="1:47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</row>
    <row r="765" spans="1:47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</row>
    <row r="766" spans="1:47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</row>
    <row r="767" spans="1:4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</row>
    <row r="768" spans="1:47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</row>
    <row r="769" spans="1:47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</row>
    <row r="770" spans="1:47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</row>
    <row r="771" spans="1:47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</row>
    <row r="772" spans="1:47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</row>
    <row r="773" spans="1:47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</row>
    <row r="774" spans="1:47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</row>
    <row r="775" spans="1:47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</row>
    <row r="776" spans="1:47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</row>
    <row r="777" spans="1:4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</row>
    <row r="778" spans="1:47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</row>
    <row r="779" spans="1:47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</row>
    <row r="780" spans="1:47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</row>
    <row r="781" spans="1:47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</row>
    <row r="782" spans="1:47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</row>
    <row r="783" spans="1:47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</row>
    <row r="784" spans="1:47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</row>
    <row r="785" spans="1:47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</row>
    <row r="786" spans="1:47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</row>
    <row r="787" spans="1:4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</row>
    <row r="788" spans="1:47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</row>
    <row r="789" spans="1:47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</row>
    <row r="790" spans="1:47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</row>
    <row r="791" spans="1:47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</row>
    <row r="792" spans="1:47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</row>
    <row r="793" spans="1:47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</row>
    <row r="794" spans="1:47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</row>
    <row r="795" spans="1:47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</row>
    <row r="796" spans="1:47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</row>
    <row r="797" spans="1:4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</row>
    <row r="798" spans="1:47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</row>
    <row r="799" spans="1:47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</row>
    <row r="800" spans="1:47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</row>
    <row r="801" spans="1:47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</row>
    <row r="802" spans="1:47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</row>
    <row r="803" spans="1:47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</row>
    <row r="804" spans="1:47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</row>
    <row r="805" spans="1:47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</row>
    <row r="806" spans="1:47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</row>
    <row r="807" spans="1:4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</row>
    <row r="808" spans="1:47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</row>
    <row r="809" spans="1:47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</row>
    <row r="810" spans="1:47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</row>
    <row r="811" spans="1:47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</row>
    <row r="812" spans="1:47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</row>
    <row r="813" spans="1:47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</row>
    <row r="814" spans="1:47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</row>
    <row r="815" spans="1:47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</row>
    <row r="816" spans="1:47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</row>
    <row r="817" spans="1:4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</row>
    <row r="818" spans="1:47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</row>
    <row r="819" spans="1:47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</row>
    <row r="820" spans="1:47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</row>
    <row r="821" spans="1:47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</row>
    <row r="822" spans="1:47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</row>
    <row r="823" spans="1:47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</row>
    <row r="824" spans="1:47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</row>
    <row r="825" spans="1:47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</row>
    <row r="826" spans="1:47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</row>
    <row r="827" spans="1:4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</row>
    <row r="828" spans="1:47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</row>
    <row r="829" spans="1:47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</row>
    <row r="830" spans="1:47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</row>
    <row r="831" spans="1:47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</row>
    <row r="832" spans="1:47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</row>
    <row r="833" spans="1:47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</row>
    <row r="834" spans="1:47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</row>
    <row r="835" spans="1:47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</row>
    <row r="836" spans="1:47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</row>
    <row r="837" spans="1:4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</row>
    <row r="838" spans="1:47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</row>
    <row r="839" spans="1:47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</row>
    <row r="840" spans="1:47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</row>
    <row r="841" spans="1:47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</row>
    <row r="842" spans="1:47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</row>
    <row r="843" spans="1:47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</row>
    <row r="844" spans="1:47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</row>
    <row r="845" spans="1:47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</row>
    <row r="846" spans="1:47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</row>
    <row r="847" spans="1: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</row>
    <row r="848" spans="1:47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</row>
    <row r="849" spans="1:47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</row>
    <row r="850" spans="1:47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</row>
    <row r="851" spans="1:47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</row>
    <row r="852" spans="1:47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</row>
    <row r="853" spans="1:47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</row>
    <row r="854" spans="1:47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</row>
    <row r="855" spans="1:47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</row>
    <row r="856" spans="1:47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</row>
    <row r="857" spans="1:4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</row>
    <row r="858" spans="1:47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</row>
    <row r="859" spans="1:47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</row>
    <row r="860" spans="1:47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</row>
    <row r="861" spans="1:47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</row>
    <row r="862" spans="1:47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</row>
    <row r="863" spans="1:47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</row>
    <row r="864" spans="1:47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</row>
    <row r="865" spans="1:47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</row>
    <row r="866" spans="1:47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</row>
    <row r="867" spans="1:4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</row>
    <row r="868" spans="1:47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</row>
    <row r="869" spans="1:47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</row>
    <row r="870" spans="1:47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</row>
    <row r="871" spans="1:47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</row>
    <row r="872" spans="1:47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</row>
    <row r="873" spans="1:47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</row>
    <row r="874" spans="1:47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</row>
    <row r="875" spans="1:47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</row>
    <row r="876" spans="1:47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</row>
    <row r="877" spans="1:4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</row>
    <row r="878" spans="1:47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</row>
    <row r="879" spans="1:47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</row>
    <row r="880" spans="1:47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</row>
    <row r="881" spans="1:47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</row>
    <row r="882" spans="1:47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</row>
    <row r="883" spans="1:47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</row>
    <row r="884" spans="1:47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</row>
    <row r="885" spans="1:47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</row>
    <row r="886" spans="1:47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</row>
    <row r="887" spans="1:4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</row>
    <row r="888" spans="1:47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</row>
    <row r="889" spans="1:47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</row>
    <row r="890" spans="1:47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</row>
    <row r="891" spans="1:47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</row>
    <row r="892" spans="1:47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</row>
    <row r="893" spans="1:47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</row>
    <row r="894" spans="1:47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</row>
    <row r="895" spans="1:47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</row>
    <row r="896" spans="1:47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</row>
    <row r="897" spans="1:4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</row>
    <row r="898" spans="1:47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</row>
    <row r="899" spans="1:47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</row>
    <row r="900" spans="1:47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</row>
    <row r="901" spans="1:47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</row>
    <row r="902" spans="1:47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</row>
    <row r="903" spans="1:47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</row>
    <row r="904" spans="1:47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</row>
    <row r="905" spans="1:47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</row>
    <row r="906" spans="1:47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</row>
    <row r="907" spans="1:4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</row>
    <row r="908" spans="1:47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</row>
    <row r="909" spans="1:47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</row>
    <row r="910" spans="1:47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</row>
    <row r="911" spans="1:47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</row>
    <row r="912" spans="1:47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</row>
    <row r="913" spans="1:47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</row>
    <row r="914" spans="1:47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</row>
    <row r="915" spans="1:47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</row>
    <row r="916" spans="1:47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</row>
    <row r="917" spans="1:4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</row>
    <row r="918" spans="1:47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</row>
    <row r="919" spans="1:47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</row>
    <row r="920" spans="1:47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</row>
    <row r="921" spans="1:47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</row>
    <row r="922" spans="1:47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</row>
    <row r="923" spans="1:47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</row>
    <row r="924" spans="1:47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</row>
    <row r="925" spans="1:47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</row>
    <row r="926" spans="1:47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</row>
    <row r="927" spans="1:4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</row>
    <row r="928" spans="1:47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</row>
    <row r="929" spans="1:47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</row>
    <row r="930" spans="1:47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</row>
    <row r="931" spans="1:47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</row>
    <row r="932" spans="1:47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</row>
    <row r="933" spans="1:47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</row>
    <row r="934" spans="1:47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</row>
    <row r="935" spans="1:47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</row>
    <row r="936" spans="1:47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</row>
    <row r="937" spans="1:4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</row>
    <row r="938" spans="1:47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</row>
    <row r="939" spans="1:47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</row>
    <row r="940" spans="1:47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</row>
    <row r="941" spans="1:47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</row>
    <row r="942" spans="1:47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</row>
    <row r="943" spans="1:47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</row>
    <row r="944" spans="1:47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</row>
    <row r="945" spans="1:47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</row>
    <row r="946" spans="1:47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</row>
    <row r="947" spans="1: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</row>
    <row r="948" spans="1:47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</row>
    <row r="949" spans="1:47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</row>
    <row r="950" spans="1:47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</row>
    <row r="951" spans="1:47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</row>
    <row r="952" spans="1:47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</row>
    <row r="953" spans="1:47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</row>
    <row r="954" spans="1:47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</row>
    <row r="955" spans="1:47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</row>
    <row r="956" spans="1:47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</row>
    <row r="957" spans="1:4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</row>
    <row r="958" spans="1:47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</row>
    <row r="959" spans="1:47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</row>
    <row r="960" spans="1:47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</row>
    <row r="961" spans="1:47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</row>
    <row r="962" spans="1:47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</row>
    <row r="963" spans="1:47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</row>
    <row r="964" spans="1:47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</row>
    <row r="965" spans="1:47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</row>
    <row r="966" spans="1:47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</row>
    <row r="967" spans="1:4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</row>
    <row r="968" spans="1:47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</row>
    <row r="969" spans="1:47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</row>
    <row r="970" spans="1:47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</row>
    <row r="971" spans="1:47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</row>
    <row r="972" spans="1:47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</row>
    <row r="973" spans="1:47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</row>
    <row r="974" spans="1:47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</row>
    <row r="975" spans="1:47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</row>
    <row r="976" spans="1:47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</row>
    <row r="977" spans="1:4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</row>
    <row r="978" spans="1:47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</row>
    <row r="979" spans="1:47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</row>
    <row r="980" spans="1:47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</row>
    <row r="981" spans="1:47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</row>
    <row r="982" spans="1:47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</row>
    <row r="983" spans="1:47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</row>
    <row r="984" spans="1:47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</row>
    <row r="985" spans="1:47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</row>
    <row r="986" spans="1:47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</row>
    <row r="987" spans="1:4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</row>
    <row r="988" spans="1:47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</row>
    <row r="989" spans="1:47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</row>
    <row r="990" spans="1:47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</row>
    <row r="991" spans="1:47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</row>
    <row r="992" spans="1:47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</row>
    <row r="993" spans="1:47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</row>
    <row r="994" spans="1:47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</row>
    <row r="995" spans="1:47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</row>
    <row r="996" spans="1:47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</row>
    <row r="997" spans="1:4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</row>
    <row r="998" spans="1:47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</row>
    <row r="999" spans="1:47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</row>
    <row r="1000" spans="1:47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spans="1:47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 spans="1:47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</row>
  </sheetData>
  <autoFilter ref="A2:AI2">
    <sortState ref="A2:AI2">
      <sortCondition descending="1" sortBy="cellColor" ref="B2" dxfId="0"/>
    </sortState>
  </autoFilter>
  <mergeCells count="5">
    <mergeCell ref="I1:U1"/>
    <mergeCell ref="W1:AG1"/>
    <mergeCell ref="H3:H8"/>
    <mergeCell ref="A9:G9"/>
    <mergeCell ref="H10:H28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 ADMIN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2025-12-02T09:56:07Z</dcterms:created>
  <dcterms:modified xsi:type="dcterms:W3CDTF">2025-12-02T09:56:39Z</dcterms:modified>
</cp:coreProperties>
</file>