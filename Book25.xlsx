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6b903817c0acb8c/Desktop/New folder/"/>
    </mc:Choice>
  </mc:AlternateContent>
  <xr:revisionPtr revIDLastSave="0" documentId="8_{839A556B-F11D-4A40-8321-25EEC1957382}" xr6:coauthVersionLast="47" xr6:coauthVersionMax="47" xr10:uidLastSave="{00000000-0000-0000-0000-000000000000}"/>
  <bookViews>
    <workbookView xWindow="-110" yWindow="-110" windowWidth="19420" windowHeight="11500" xr2:uid="{457D99BA-FDB1-4215-8B91-0B81EBC6A892}"/>
  </bookViews>
  <sheets>
    <sheet name="PROJECT MASTER FILE - COP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N9" i="1"/>
  <c r="F10" i="1"/>
  <c r="F11" i="1"/>
  <c r="F22" i="1"/>
  <c r="F23" i="1"/>
  <c r="F24" i="1"/>
  <c r="M32" i="1"/>
  <c r="N32" i="1"/>
  <c r="N43" i="1"/>
  <c r="F48" i="1"/>
  <c r="M48" i="1"/>
  <c r="F49" i="1"/>
  <c r="F50" i="1"/>
  <c r="M56" i="1"/>
  <c r="F61" i="1"/>
  <c r="Y63" i="1"/>
  <c r="F74" i="1"/>
  <c r="F75" i="1"/>
  <c r="F76" i="1"/>
  <c r="F87" i="1"/>
  <c r="F88" i="1"/>
  <c r="F89" i="1"/>
  <c r="L120" i="1"/>
  <c r="L123" i="1" s="1"/>
  <c r="M120" i="1"/>
  <c r="M123" i="1" s="1"/>
  <c r="N120" i="1"/>
  <c r="N123" i="1" s="1"/>
  <c r="O120" i="1"/>
  <c r="O123" i="1" s="1"/>
  <c r="P120" i="1"/>
  <c r="P123" i="1" s="1"/>
  <c r="Q120" i="1"/>
  <c r="Q123" i="1" s="1"/>
  <c r="R120" i="1"/>
  <c r="R123" i="1" s="1"/>
  <c r="S120" i="1"/>
  <c r="S123" i="1" s="1"/>
  <c r="T120" i="1"/>
  <c r="T123" i="1" s="1"/>
  <c r="L121" i="1"/>
  <c r="M121" i="1"/>
  <c r="N121" i="1"/>
  <c r="O121" i="1"/>
  <c r="P121" i="1"/>
  <c r="Q121" i="1"/>
  <c r="R121" i="1"/>
  <c r="S121" i="1"/>
  <c r="T121" i="1"/>
  <c r="L122" i="1"/>
  <c r="M122" i="1"/>
  <c r="N122" i="1"/>
  <c r="O122" i="1"/>
  <c r="P122" i="1"/>
  <c r="Q122" i="1"/>
  <c r="R122" i="1"/>
  <c r="S122" i="1"/>
  <c r="T122" i="1"/>
  <c r="F126" i="1" a="1"/>
  <c r="F126" i="1"/>
  <c r="O126" i="1" s="1"/>
  <c r="L126" i="1"/>
  <c r="M126" i="1"/>
  <c r="N126" i="1"/>
  <c r="R126" i="1" l="1"/>
  <c r="F127" i="1"/>
  <c r="T126" i="1"/>
  <c r="Q126" i="1"/>
  <c r="P126" i="1"/>
  <c r="S126" i="1"/>
  <c r="F128" i="1"/>
  <c r="L128" i="1" l="1"/>
  <c r="R128" i="1"/>
  <c r="M128" i="1"/>
  <c r="P128" i="1"/>
  <c r="Q128" i="1"/>
  <c r="S128" i="1"/>
  <c r="N128" i="1"/>
  <c r="O128" i="1"/>
  <c r="T128" i="1"/>
  <c r="L127" i="1"/>
  <c r="R127" i="1"/>
  <c r="T127" i="1"/>
  <c r="M127" i="1"/>
  <c r="P127" i="1"/>
  <c r="Q127" i="1"/>
  <c r="N127" i="1"/>
  <c r="O127" i="1"/>
  <c r="S127" i="1"/>
</calcChain>
</file>

<file path=xl/sharedStrings.xml><?xml version="1.0" encoding="utf-8"?>
<sst xmlns="http://schemas.openxmlformats.org/spreadsheetml/2006/main" count="225" uniqueCount="41">
  <si>
    <t xml:space="preserve"> </t>
  </si>
  <si>
    <t>Surplus</t>
  </si>
  <si>
    <t>Monitoring and Evaluation</t>
  </si>
  <si>
    <t>Implementation Phase</t>
  </si>
  <si>
    <t>Design Phase</t>
  </si>
  <si>
    <t>Project specific salary</t>
  </si>
  <si>
    <t>Project Direct Expenses (i.e 95% total of Project Value)</t>
  </si>
  <si>
    <t>5% total of Project Value</t>
  </si>
  <si>
    <t>HMA Admin Expenses @5%</t>
  </si>
  <si>
    <t>HR Expenses @5%</t>
  </si>
  <si>
    <t>HMA Core  TeamSalary @5%</t>
  </si>
  <si>
    <t>CSR</t>
  </si>
  <si>
    <t>Exploring the correlation and Diagnostic potential of Menstrual Blood</t>
  </si>
  <si>
    <t>Total</t>
  </si>
  <si>
    <t>Value</t>
  </si>
  <si>
    <t>Project Split Up</t>
  </si>
  <si>
    <t>Project Value</t>
  </si>
  <si>
    <t>Project Type</t>
  </si>
  <si>
    <t>Project Name</t>
  </si>
  <si>
    <t>Sl No</t>
  </si>
  <si>
    <t>Project Direct Expenses (i.e 85% total of Project Value)</t>
  </si>
  <si>
    <t>15% total of Project Value</t>
  </si>
  <si>
    <t>My City</t>
  </si>
  <si>
    <t>Remarks</t>
  </si>
  <si>
    <t>Inclusive community mental health initiative in Wayanad district</t>
  </si>
  <si>
    <t>Counselling support for transgender individuals-pre and post surgery and non surgical pathways in gender transition</t>
  </si>
  <si>
    <t>Swasthya-An innovative behaviour change programme for Aneamia in women of reproductive age</t>
  </si>
  <si>
    <t>HLL Cotton Hill, Trivandrum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</si>
  <si>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</si>
  <si>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Taken 219755.5 Instead of 204207 </t>
  </si>
  <si>
    <t>Taken - 6.23%  Instead of 5%</t>
  </si>
  <si>
    <t>IOCL - Panipat</t>
  </si>
  <si>
    <t>Cochin Shipyard Limited - Andaman</t>
  </si>
  <si>
    <t>Power Grid Corporation of India Limited - Yelahanka, Bangalore</t>
  </si>
  <si>
    <t>24800.3 (accounted) 50400 (commited)</t>
  </si>
  <si>
    <t>HMA CSR Admin Expenses @5%</t>
  </si>
  <si>
    <t>HLL Malappuram</t>
  </si>
  <si>
    <t xml:space="preserve">Instead of 21843 taken 27600 </t>
  </si>
  <si>
    <t>-</t>
  </si>
  <si>
    <t>Taken - 8.54%  Instead of 5%</t>
  </si>
  <si>
    <t>HLL Maharashtra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</si>
</sst>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d"/>
  </numFmts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Arial Narrow"/>
    </font>
    <font>
      <b/>
      <sz val="11"/>
      <color theme="1"/>
      <name val="Calibri"/>
    </font>
    <font>
      <sz val="11"/>
      <name val="Calibri"/>
    </font>
    <font>
      <b/>
      <sz val="12"/>
      <color theme="1"/>
      <name val="Arial Narrow"/>
    </font>
    <font>
      <b/>
      <sz val="11"/>
      <color theme="1"/>
      <name val="Arial Narrow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rgb="FFFF0000"/>
      <name val="Arial Narrow"/>
    </font>
    <font>
      <sz val="11"/>
      <color rgb="FF000000"/>
      <name val="Arial Narrow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6" borderId="4" xfId="0" applyFont="1" applyFill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" fillId="5" borderId="0" xfId="0" applyFont="1" applyFill="1"/>
    <xf numFmtId="0" fontId="2" fillId="9" borderId="1" xfId="0" applyFont="1" applyFill="1" applyBorder="1" applyAlignment="1">
      <alignment wrapText="1"/>
    </xf>
    <xf numFmtId="0" fontId="2" fillId="9" borderId="1" xfId="0" applyFont="1" applyFill="1" applyBorder="1" applyAlignment="1">
      <alignment horizontal="center" wrapText="1"/>
    </xf>
    <xf numFmtId="0" fontId="1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7" fillId="7" borderId="1" xfId="0" applyFont="1" applyFill="1" applyBorder="1"/>
    <xf numFmtId="0" fontId="6" fillId="0" borderId="0" xfId="0" applyFont="1" applyAlignment="1">
      <alignment horizontal="center" vertical="center" wrapText="1"/>
    </xf>
    <xf numFmtId="17" fontId="6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1166C-40CC-48BF-900B-8B0CAB551475}">
  <sheetPr>
    <outlinePr summaryBelow="0" summaryRight="0"/>
    <pageSetUpPr fitToPage="1"/>
  </sheetPr>
  <dimension ref="A1:AD147"/>
  <sheetViews>
    <sheetView tabSelected="1" topLeftCell="A125" workbookViewId="0">
      <selection activeCell="G141" sqref="G141"/>
    </sheetView>
  </sheetViews>
  <sheetFormatPr defaultColWidth="14.453125" defaultRowHeight="15" customHeight="1" x14ac:dyDescent="0.35"/>
  <cols>
    <col min="2" max="2" width="14.453125" customWidth="1"/>
    <col min="3" max="3" width="11.26953125" customWidth="1"/>
    <col min="26" max="26" width="27.7265625" customWidth="1"/>
  </cols>
  <sheetData>
    <row r="1" spans="1:26" x14ac:dyDescent="0.35">
      <c r="A1" s="36"/>
      <c r="B1" s="36"/>
      <c r="C1" s="36"/>
      <c r="D1" s="36"/>
      <c r="E1" s="36"/>
      <c r="F1" s="36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6"/>
    </row>
    <row r="2" spans="1:26" x14ac:dyDescent="0.35">
      <c r="A2" s="16" t="s">
        <v>19</v>
      </c>
      <c r="B2" s="16" t="s">
        <v>18</v>
      </c>
      <c r="C2" s="16" t="s">
        <v>17</v>
      </c>
      <c r="D2" s="16" t="s">
        <v>16</v>
      </c>
      <c r="E2" s="16" t="s">
        <v>15</v>
      </c>
      <c r="F2" s="16" t="s">
        <v>14</v>
      </c>
      <c r="G2" s="17"/>
      <c r="H2" s="17">
        <v>45650</v>
      </c>
      <c r="I2" s="17">
        <v>45682</v>
      </c>
      <c r="J2" s="17">
        <v>45689</v>
      </c>
      <c r="K2" s="17">
        <v>45717</v>
      </c>
      <c r="L2" s="17">
        <v>45762</v>
      </c>
      <c r="M2" s="17">
        <v>45802</v>
      </c>
      <c r="N2" s="17">
        <v>45833</v>
      </c>
      <c r="O2" s="17">
        <v>45863</v>
      </c>
      <c r="P2" s="17">
        <v>45894</v>
      </c>
      <c r="Q2" s="17">
        <v>45925</v>
      </c>
      <c r="R2" s="17">
        <v>45955</v>
      </c>
      <c r="S2" s="17">
        <v>45986</v>
      </c>
      <c r="T2" s="17">
        <v>46016</v>
      </c>
      <c r="U2" s="17">
        <v>46047</v>
      </c>
      <c r="V2" s="17">
        <v>46078</v>
      </c>
      <c r="W2" s="17">
        <v>46106</v>
      </c>
      <c r="X2" s="17">
        <v>46113</v>
      </c>
      <c r="Y2" s="16" t="s">
        <v>13</v>
      </c>
      <c r="Z2" s="35" t="s">
        <v>23</v>
      </c>
    </row>
    <row r="3" spans="1:26" x14ac:dyDescent="0.35">
      <c r="A3" s="15">
        <v>1</v>
      </c>
      <c r="B3" s="15" t="s">
        <v>40</v>
      </c>
      <c r="C3" s="15" t="s">
        <v>11</v>
      </c>
      <c r="D3" s="15">
        <v>1500000</v>
      </c>
      <c r="E3" s="14" t="s">
        <v>10</v>
      </c>
      <c r="F3" s="3">
        <v>75000</v>
      </c>
      <c r="G3" s="7"/>
      <c r="H3" s="7"/>
      <c r="I3" s="7"/>
      <c r="J3" s="3">
        <v>0</v>
      </c>
      <c r="K3" s="3">
        <v>0</v>
      </c>
      <c r="L3" s="3">
        <v>128157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/>
      <c r="X3" s="3"/>
      <c r="Y3" s="27">
        <v>128157</v>
      </c>
      <c r="Z3" s="32" t="s">
        <v>39</v>
      </c>
    </row>
    <row r="4" spans="1:26" x14ac:dyDescent="0.35">
      <c r="A4" s="8"/>
      <c r="B4" s="8"/>
      <c r="C4" s="8"/>
      <c r="D4" s="8"/>
      <c r="E4" s="14" t="s">
        <v>9</v>
      </c>
      <c r="F4" s="3">
        <v>75000</v>
      </c>
      <c r="G4" s="7"/>
      <c r="H4" s="7"/>
      <c r="I4" s="7"/>
      <c r="J4" s="3">
        <v>0</v>
      </c>
      <c r="K4" s="3">
        <v>0</v>
      </c>
      <c r="L4" s="3">
        <v>0</v>
      </c>
      <c r="M4" s="3">
        <v>0</v>
      </c>
      <c r="N4" s="3">
        <v>12000</v>
      </c>
      <c r="O4" s="3">
        <v>0</v>
      </c>
      <c r="P4" s="3">
        <v>15600</v>
      </c>
      <c r="Q4" s="23">
        <v>0</v>
      </c>
      <c r="R4" s="23" t="s">
        <v>38</v>
      </c>
      <c r="S4" s="23" t="s">
        <v>38</v>
      </c>
      <c r="T4" s="23" t="s">
        <v>38</v>
      </c>
      <c r="U4" s="23" t="s">
        <v>38</v>
      </c>
      <c r="V4" s="23" t="s">
        <v>38</v>
      </c>
      <c r="W4" s="3"/>
      <c r="X4" s="3"/>
      <c r="Y4" s="27">
        <v>27600</v>
      </c>
      <c r="Z4" s="31" t="s">
        <v>37</v>
      </c>
    </row>
    <row r="5" spans="1:26" x14ac:dyDescent="0.35">
      <c r="A5" s="8"/>
      <c r="B5" s="8"/>
      <c r="C5" s="8"/>
      <c r="D5" s="8"/>
      <c r="E5" s="14" t="s">
        <v>8</v>
      </c>
      <c r="F5" s="3">
        <v>75000</v>
      </c>
      <c r="G5" s="7"/>
      <c r="H5" s="7"/>
      <c r="I5" s="7"/>
      <c r="J5" s="3">
        <v>0</v>
      </c>
      <c r="K5" s="3">
        <v>0</v>
      </c>
      <c r="L5" s="3">
        <v>0</v>
      </c>
      <c r="M5" s="3">
        <v>0</v>
      </c>
      <c r="N5" s="3">
        <v>30000</v>
      </c>
      <c r="O5" s="3">
        <v>0</v>
      </c>
      <c r="P5" s="3">
        <v>0</v>
      </c>
      <c r="Q5" s="3">
        <v>0</v>
      </c>
      <c r="R5" s="3">
        <v>7848.6</v>
      </c>
      <c r="S5" s="3">
        <v>7848.6</v>
      </c>
      <c r="T5" s="3">
        <v>7848.6</v>
      </c>
      <c r="U5" s="3">
        <v>7848.6</v>
      </c>
      <c r="V5" s="3">
        <v>7848.6</v>
      </c>
      <c r="W5" s="3"/>
      <c r="X5" s="3"/>
      <c r="Y5" s="3">
        <v>69243</v>
      </c>
      <c r="Z5" s="34"/>
    </row>
    <row r="6" spans="1:26" x14ac:dyDescent="0.35">
      <c r="A6" s="8"/>
      <c r="B6" s="8"/>
      <c r="C6" s="8"/>
      <c r="D6" s="8"/>
      <c r="E6" s="13" t="s">
        <v>21</v>
      </c>
      <c r="F6" s="11">
        <v>225000</v>
      </c>
      <c r="G6" s="12"/>
      <c r="H6" s="12"/>
      <c r="I6" s="12"/>
      <c r="J6" s="11">
        <v>0</v>
      </c>
      <c r="K6" s="11">
        <v>0</v>
      </c>
      <c r="L6" s="11">
        <v>128157</v>
      </c>
      <c r="M6" s="11">
        <v>0</v>
      </c>
      <c r="N6" s="11">
        <v>42000</v>
      </c>
      <c r="O6" s="11">
        <v>0</v>
      </c>
      <c r="P6" s="11">
        <v>15600</v>
      </c>
      <c r="Q6" s="11">
        <v>0</v>
      </c>
      <c r="R6" s="11">
        <v>7848.6</v>
      </c>
      <c r="S6" s="11">
        <v>7848.6</v>
      </c>
      <c r="T6" s="11">
        <v>7848.6</v>
      </c>
      <c r="U6" s="11">
        <v>7848.6</v>
      </c>
      <c r="V6" s="11">
        <v>7848.6</v>
      </c>
      <c r="W6" s="11"/>
      <c r="X6" s="3"/>
      <c r="Y6" s="3">
        <v>225000</v>
      </c>
      <c r="Z6" s="33"/>
    </row>
    <row r="7" spans="1:26" x14ac:dyDescent="0.35">
      <c r="A7" s="8"/>
      <c r="B7" s="8"/>
      <c r="C7" s="8"/>
      <c r="D7" s="8"/>
      <c r="E7" s="9" t="s">
        <v>20</v>
      </c>
      <c r="F7" s="3">
        <v>1275000</v>
      </c>
      <c r="G7" s="7"/>
      <c r="H7" s="7"/>
      <c r="I7" s="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3"/>
    </row>
    <row r="8" spans="1:26" x14ac:dyDescent="0.35">
      <c r="A8" s="8"/>
      <c r="B8" s="8"/>
      <c r="C8" s="8"/>
      <c r="D8" s="8"/>
      <c r="E8" s="3" t="s">
        <v>5</v>
      </c>
      <c r="F8" s="3">
        <v>522072</v>
      </c>
      <c r="G8" s="7"/>
      <c r="H8" s="7"/>
      <c r="I8" s="7"/>
      <c r="J8" s="3">
        <v>0</v>
      </c>
      <c r="K8" s="3">
        <v>0</v>
      </c>
      <c r="L8" s="3">
        <v>30096</v>
      </c>
      <c r="M8" s="3">
        <v>34890</v>
      </c>
      <c r="N8" s="3">
        <v>42473</v>
      </c>
      <c r="O8" s="3">
        <v>30156</v>
      </c>
      <c r="P8" s="3">
        <v>45930</v>
      </c>
      <c r="Q8" s="3">
        <v>56421</v>
      </c>
      <c r="R8" s="3">
        <v>56421</v>
      </c>
      <c r="S8" s="3">
        <v>56421</v>
      </c>
      <c r="T8" s="3">
        <v>56421</v>
      </c>
      <c r="U8" s="3">
        <v>56421</v>
      </c>
      <c r="V8" s="3">
        <v>56422</v>
      </c>
      <c r="W8" s="3"/>
      <c r="X8" s="3"/>
      <c r="Y8" s="3">
        <v>522072</v>
      </c>
      <c r="Z8" s="33"/>
    </row>
    <row r="9" spans="1:26" x14ac:dyDescent="0.35">
      <c r="A9" s="8"/>
      <c r="B9" s="8"/>
      <c r="C9" s="8"/>
      <c r="D9" s="8"/>
      <c r="E9" s="9" t="s">
        <v>4</v>
      </c>
      <c r="F9" s="3">
        <f>512000-25000-25000-261036</f>
        <v>200964</v>
      </c>
      <c r="G9" s="7"/>
      <c r="H9" s="7"/>
      <c r="I9" s="7"/>
      <c r="J9" s="3">
        <v>0</v>
      </c>
      <c r="K9" s="3">
        <v>0</v>
      </c>
      <c r="L9" s="3">
        <v>2581</v>
      </c>
      <c r="M9" s="3">
        <v>1634</v>
      </c>
      <c r="N9" s="3">
        <f>6433+270</f>
        <v>6703</v>
      </c>
      <c r="O9" s="3">
        <v>52829.5</v>
      </c>
      <c r="P9" s="3">
        <v>120000</v>
      </c>
      <c r="Q9" s="3">
        <v>0</v>
      </c>
      <c r="R9" s="3">
        <v>17216.5</v>
      </c>
      <c r="S9" s="3"/>
      <c r="T9" s="3"/>
      <c r="U9" s="3"/>
      <c r="V9" s="3"/>
      <c r="W9" s="3"/>
      <c r="X9" s="3"/>
      <c r="Y9" s="3">
        <v>200964</v>
      </c>
      <c r="Z9" s="33"/>
    </row>
    <row r="10" spans="1:26" x14ac:dyDescent="0.35">
      <c r="A10" s="8"/>
      <c r="B10" s="8"/>
      <c r="C10" s="8"/>
      <c r="D10" s="8"/>
      <c r="E10" s="3" t="s">
        <v>3</v>
      </c>
      <c r="F10" s="3">
        <f>726500-25000-25000-261036</f>
        <v>415464</v>
      </c>
      <c r="G10" s="7"/>
      <c r="H10" s="7"/>
      <c r="I10" s="7"/>
      <c r="J10" s="3"/>
      <c r="K10" s="3"/>
      <c r="L10" s="3"/>
      <c r="M10" s="3"/>
      <c r="N10" s="3"/>
      <c r="O10" s="3">
        <v>1213</v>
      </c>
      <c r="P10" s="3">
        <v>25888.799999999999</v>
      </c>
      <c r="Q10" s="3">
        <v>294</v>
      </c>
      <c r="R10" s="3">
        <v>194034.1</v>
      </c>
      <c r="S10" s="3">
        <v>194034.1</v>
      </c>
      <c r="T10" s="3"/>
      <c r="U10" s="3"/>
      <c r="V10" s="3"/>
      <c r="W10" s="3"/>
      <c r="X10" s="3"/>
      <c r="Y10" s="3">
        <v>415464</v>
      </c>
      <c r="Z10" s="33"/>
    </row>
    <row r="11" spans="1:26" x14ac:dyDescent="0.35">
      <c r="A11" s="8"/>
      <c r="B11" s="8"/>
      <c r="C11" s="8"/>
      <c r="D11" s="8"/>
      <c r="E11" s="3" t="s">
        <v>2</v>
      </c>
      <c r="F11" s="3">
        <f>190000+71500-25000-25000-75000</f>
        <v>136500</v>
      </c>
      <c r="G11" s="7"/>
      <c r="H11" s="7"/>
      <c r="I11" s="7"/>
      <c r="J11" s="3"/>
      <c r="K11" s="3"/>
      <c r="L11" s="3"/>
      <c r="M11" s="3"/>
      <c r="N11" s="3"/>
      <c r="O11" s="3"/>
      <c r="P11" s="3">
        <v>15050</v>
      </c>
      <c r="Q11" s="3"/>
      <c r="R11" s="3"/>
      <c r="S11" s="3"/>
      <c r="T11" s="3">
        <v>40483</v>
      </c>
      <c r="U11" s="3">
        <v>40483</v>
      </c>
      <c r="V11" s="3">
        <v>40484</v>
      </c>
      <c r="W11" s="3"/>
      <c r="X11" s="3"/>
      <c r="Y11" s="3">
        <v>136500</v>
      </c>
      <c r="Z11" s="33"/>
    </row>
    <row r="12" spans="1:26" x14ac:dyDescent="0.35">
      <c r="A12" s="6"/>
      <c r="B12" s="6"/>
      <c r="C12" s="6"/>
      <c r="D12" s="6"/>
      <c r="E12" s="4" t="s">
        <v>1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3"/>
      <c r="Y12" s="3"/>
      <c r="Z12" s="2"/>
    </row>
    <row r="13" spans="1:26" x14ac:dyDescent="0.35">
      <c r="Z13" s="2"/>
    </row>
    <row r="14" spans="1:26" x14ac:dyDescent="0.35">
      <c r="Z14" s="2"/>
    </row>
    <row r="15" spans="1:26" x14ac:dyDescent="0.35">
      <c r="A15" s="16" t="s">
        <v>19</v>
      </c>
      <c r="B15" s="16" t="s">
        <v>18</v>
      </c>
      <c r="C15" s="16" t="s">
        <v>17</v>
      </c>
      <c r="D15" s="16" t="s">
        <v>16</v>
      </c>
      <c r="E15" s="16" t="s">
        <v>15</v>
      </c>
      <c r="F15" s="16" t="s">
        <v>14</v>
      </c>
      <c r="G15" s="17"/>
      <c r="H15" s="17">
        <v>45650</v>
      </c>
      <c r="I15" s="17">
        <v>45682</v>
      </c>
      <c r="J15" s="17">
        <v>45689</v>
      </c>
      <c r="K15" s="17">
        <v>45717</v>
      </c>
      <c r="L15" s="17">
        <v>45762</v>
      </c>
      <c r="M15" s="17">
        <v>45802</v>
      </c>
      <c r="N15" s="17">
        <v>45833</v>
      </c>
      <c r="O15" s="17">
        <v>45863</v>
      </c>
      <c r="P15" s="17">
        <v>45894</v>
      </c>
      <c r="Q15" s="17">
        <v>45925</v>
      </c>
      <c r="R15" s="17">
        <v>45955</v>
      </c>
      <c r="S15" s="17">
        <v>45986</v>
      </c>
      <c r="T15" s="17">
        <v>46016</v>
      </c>
      <c r="U15" s="17">
        <v>46047</v>
      </c>
      <c r="V15" s="17">
        <v>46078</v>
      </c>
      <c r="W15" s="17">
        <v>46106</v>
      </c>
      <c r="X15" s="17">
        <v>46113</v>
      </c>
      <c r="Y15" s="16" t="s">
        <v>13</v>
      </c>
      <c r="Z15" s="2"/>
    </row>
    <row r="16" spans="1:26" x14ac:dyDescent="0.35">
      <c r="A16" s="15">
        <v>2</v>
      </c>
      <c r="B16" s="15" t="s">
        <v>36</v>
      </c>
      <c r="C16" s="15" t="s">
        <v>11</v>
      </c>
      <c r="D16" s="15">
        <v>1200000</v>
      </c>
      <c r="E16" s="14" t="s">
        <v>10</v>
      </c>
      <c r="F16" s="3">
        <v>60000</v>
      </c>
      <c r="G16" s="7"/>
      <c r="H16" s="7"/>
      <c r="I16" s="7"/>
      <c r="J16" s="3">
        <v>0</v>
      </c>
      <c r="K16" s="3">
        <v>7627</v>
      </c>
      <c r="L16" s="3">
        <v>7311</v>
      </c>
      <c r="M16" s="3">
        <v>0</v>
      </c>
      <c r="N16" s="23">
        <v>5006</v>
      </c>
      <c r="O16" s="23">
        <v>5007</v>
      </c>
      <c r="P16" s="23">
        <v>5007</v>
      </c>
      <c r="Q16" s="23">
        <v>5007</v>
      </c>
      <c r="R16" s="23">
        <v>5007</v>
      </c>
      <c r="S16" s="23">
        <v>5007</v>
      </c>
      <c r="T16" s="23">
        <v>5007</v>
      </c>
      <c r="U16" s="23">
        <v>5007</v>
      </c>
      <c r="V16" s="23">
        <v>5007</v>
      </c>
      <c r="W16" s="3"/>
      <c r="X16" s="3"/>
      <c r="Y16" s="3">
        <v>60000</v>
      </c>
      <c r="Z16" s="2"/>
    </row>
    <row r="17" spans="1:26" x14ac:dyDescent="0.35">
      <c r="A17" s="8"/>
      <c r="B17" s="8"/>
      <c r="C17" s="8"/>
      <c r="D17" s="8"/>
      <c r="E17" s="14" t="s">
        <v>9</v>
      </c>
      <c r="F17" s="3">
        <v>60000</v>
      </c>
      <c r="G17" s="7"/>
      <c r="H17" s="7"/>
      <c r="I17" s="7"/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11200.25</v>
      </c>
      <c r="P17" s="3">
        <v>40614.9</v>
      </c>
      <c r="Q17" s="3">
        <v>1364.14</v>
      </c>
      <c r="R17" s="3">
        <v>1364.14</v>
      </c>
      <c r="S17" s="3">
        <v>1364.14</v>
      </c>
      <c r="T17" s="3">
        <v>1364.14</v>
      </c>
      <c r="U17" s="3">
        <v>1364.14</v>
      </c>
      <c r="V17" s="3">
        <v>1364.15</v>
      </c>
      <c r="W17" s="3"/>
      <c r="X17" s="3"/>
      <c r="Y17" s="3">
        <v>60000</v>
      </c>
      <c r="Z17" s="2"/>
    </row>
    <row r="18" spans="1:26" x14ac:dyDescent="0.35">
      <c r="A18" s="8"/>
      <c r="B18" s="8"/>
      <c r="C18" s="8"/>
      <c r="D18" s="8"/>
      <c r="E18" s="14" t="s">
        <v>35</v>
      </c>
      <c r="F18" s="3">
        <v>60000</v>
      </c>
      <c r="G18" s="7"/>
      <c r="H18" s="7"/>
      <c r="I18" s="7"/>
      <c r="J18" s="3">
        <v>0</v>
      </c>
      <c r="K18" s="3">
        <v>0</v>
      </c>
      <c r="L18" s="3">
        <v>0</v>
      </c>
      <c r="M18" s="3">
        <v>0</v>
      </c>
      <c r="N18" s="3">
        <v>24000</v>
      </c>
      <c r="O18" s="3">
        <v>0</v>
      </c>
      <c r="P18" s="3">
        <v>0</v>
      </c>
      <c r="Q18" s="3">
        <v>0</v>
      </c>
      <c r="R18" s="3">
        <v>7200</v>
      </c>
      <c r="S18" s="3">
        <v>7200</v>
      </c>
      <c r="T18" s="3">
        <v>7200</v>
      </c>
      <c r="U18" s="3">
        <v>7200</v>
      </c>
      <c r="V18" s="3">
        <v>7200</v>
      </c>
      <c r="W18" s="3"/>
      <c r="X18" s="3"/>
      <c r="Y18" s="3">
        <v>60000</v>
      </c>
      <c r="Z18" s="2"/>
    </row>
    <row r="19" spans="1:26" x14ac:dyDescent="0.35">
      <c r="A19" s="8"/>
      <c r="B19" s="8"/>
      <c r="C19" s="8"/>
      <c r="D19" s="8"/>
      <c r="E19" s="13" t="s">
        <v>21</v>
      </c>
      <c r="F19" s="11">
        <v>180000</v>
      </c>
      <c r="G19" s="12"/>
      <c r="H19" s="12"/>
      <c r="I19" s="12"/>
      <c r="J19" s="11">
        <v>0</v>
      </c>
      <c r="K19" s="11">
        <v>7627</v>
      </c>
      <c r="L19" s="11">
        <v>7311</v>
      </c>
      <c r="M19" s="11">
        <v>0</v>
      </c>
      <c r="N19" s="11">
        <v>29006</v>
      </c>
      <c r="O19" s="11">
        <v>16207.25</v>
      </c>
      <c r="P19" s="11">
        <v>45621.9</v>
      </c>
      <c r="Q19" s="11">
        <v>6371.14</v>
      </c>
      <c r="R19" s="11">
        <v>13571.14</v>
      </c>
      <c r="S19" s="11">
        <v>13571.14</v>
      </c>
      <c r="T19" s="11">
        <v>13571.14</v>
      </c>
      <c r="U19" s="11">
        <v>13571.14</v>
      </c>
      <c r="V19" s="11">
        <v>13571.15</v>
      </c>
      <c r="W19" s="11"/>
      <c r="X19" s="3"/>
      <c r="Y19" s="3">
        <v>180000</v>
      </c>
      <c r="Z19" s="2"/>
    </row>
    <row r="20" spans="1:26" x14ac:dyDescent="0.35">
      <c r="A20" s="8"/>
      <c r="B20" s="8"/>
      <c r="C20" s="8"/>
      <c r="D20" s="8"/>
      <c r="E20" s="9" t="s">
        <v>20</v>
      </c>
      <c r="F20" s="3">
        <v>1020000</v>
      </c>
      <c r="G20" s="7"/>
      <c r="H20" s="7"/>
      <c r="I20" s="7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2"/>
    </row>
    <row r="21" spans="1:26" x14ac:dyDescent="0.35">
      <c r="A21" s="8"/>
      <c r="B21" s="8"/>
      <c r="C21" s="8"/>
      <c r="D21" s="8"/>
      <c r="E21" s="3" t="s">
        <v>5</v>
      </c>
      <c r="F21" s="3">
        <v>241248</v>
      </c>
      <c r="G21" s="7"/>
      <c r="H21" s="7"/>
      <c r="I21" s="7"/>
      <c r="J21" s="3">
        <v>0</v>
      </c>
      <c r="K21" s="3">
        <v>0</v>
      </c>
      <c r="L21" s="3">
        <v>0</v>
      </c>
      <c r="M21" s="3">
        <v>5886</v>
      </c>
      <c r="N21" s="3">
        <v>30156</v>
      </c>
      <c r="O21" s="3">
        <v>30156</v>
      </c>
      <c r="P21" s="3">
        <v>30156</v>
      </c>
      <c r="Q21" s="23">
        <v>24149</v>
      </c>
      <c r="R21" s="23">
        <v>24149</v>
      </c>
      <c r="S21" s="23">
        <v>24149</v>
      </c>
      <c r="T21" s="23">
        <v>24149</v>
      </c>
      <c r="U21" s="23">
        <v>24149</v>
      </c>
      <c r="V21" s="23">
        <v>24149</v>
      </c>
      <c r="W21" s="3"/>
      <c r="X21" s="3"/>
      <c r="Y21" s="3">
        <v>241248</v>
      </c>
      <c r="Z21" s="2"/>
    </row>
    <row r="22" spans="1:26" x14ac:dyDescent="0.35">
      <c r="A22" s="8"/>
      <c r="B22" s="8"/>
      <c r="C22" s="8"/>
      <c r="D22" s="8"/>
      <c r="E22" s="9" t="s">
        <v>4</v>
      </c>
      <c r="F22" s="3">
        <f>782000-F21/2-F16/3-F17/3</f>
        <v>621376</v>
      </c>
      <c r="G22" s="7"/>
      <c r="H22" s="7"/>
      <c r="I22" s="7"/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100960.5</v>
      </c>
      <c r="P22" s="3">
        <v>160000</v>
      </c>
      <c r="Q22" s="3" t="s">
        <v>34</v>
      </c>
      <c r="R22" s="3">
        <v>285215.2</v>
      </c>
      <c r="S22" s="3"/>
      <c r="T22" s="3"/>
      <c r="U22" s="3"/>
      <c r="V22" s="3"/>
      <c r="W22" s="3"/>
      <c r="X22" s="3"/>
      <c r="Y22" s="3">
        <v>621376</v>
      </c>
      <c r="Z22" s="2"/>
    </row>
    <row r="23" spans="1:26" x14ac:dyDescent="0.35">
      <c r="A23" s="8"/>
      <c r="B23" s="8"/>
      <c r="C23" s="8"/>
      <c r="D23" s="8"/>
      <c r="E23" s="3" t="s">
        <v>3</v>
      </c>
      <c r="F23" s="3">
        <f>246000-F21/2-F16/3-F17/3</f>
        <v>85376</v>
      </c>
      <c r="G23" s="7"/>
      <c r="H23" s="7"/>
      <c r="I23" s="7"/>
      <c r="J23" s="3"/>
      <c r="K23" s="3"/>
      <c r="L23" s="3"/>
      <c r="M23" s="3"/>
      <c r="N23" s="3"/>
      <c r="O23" s="3"/>
      <c r="P23" s="3">
        <v>20052.400000000001</v>
      </c>
      <c r="Q23" s="3">
        <v>10009</v>
      </c>
      <c r="R23" s="3">
        <v>27657.3</v>
      </c>
      <c r="S23" s="3">
        <v>27657.3</v>
      </c>
      <c r="T23" s="3"/>
      <c r="U23" s="3"/>
      <c r="V23" s="3"/>
      <c r="W23" s="3"/>
      <c r="X23" s="3"/>
      <c r="Y23" s="3">
        <v>85376</v>
      </c>
      <c r="Z23" s="2"/>
    </row>
    <row r="24" spans="1:26" x14ac:dyDescent="0.35">
      <c r="A24" s="8"/>
      <c r="B24" s="8"/>
      <c r="C24" s="8"/>
      <c r="D24" s="8"/>
      <c r="E24" s="3" t="s">
        <v>2</v>
      </c>
      <c r="F24" s="3">
        <f>172000-F16/3-F17/3-F18</f>
        <v>72000</v>
      </c>
      <c r="G24" s="7"/>
      <c r="H24" s="7"/>
      <c r="I24" s="7"/>
      <c r="J24" s="3"/>
      <c r="K24" s="3"/>
      <c r="L24" s="3"/>
      <c r="M24" s="3"/>
      <c r="N24" s="3"/>
      <c r="O24" s="3"/>
      <c r="P24" s="3">
        <v>15050</v>
      </c>
      <c r="Q24" s="3"/>
      <c r="R24" s="3"/>
      <c r="S24" s="3"/>
      <c r="T24" s="3">
        <v>18983</v>
      </c>
      <c r="U24" s="3">
        <v>18983</v>
      </c>
      <c r="V24" s="3">
        <v>18984</v>
      </c>
      <c r="W24" s="3"/>
      <c r="X24" s="3"/>
      <c r="Y24" s="3">
        <v>72000</v>
      </c>
      <c r="Z24" s="2"/>
    </row>
    <row r="25" spans="1:26" x14ac:dyDescent="0.35">
      <c r="A25" s="6"/>
      <c r="B25" s="6"/>
      <c r="C25" s="6"/>
      <c r="D25" s="6"/>
      <c r="E25" s="4" t="s">
        <v>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3"/>
      <c r="Y25" s="3"/>
      <c r="Z25" s="2"/>
    </row>
    <row r="26" spans="1:26" x14ac:dyDescent="0.35">
      <c r="Z26" s="2"/>
    </row>
    <row r="27" spans="1:26" x14ac:dyDescent="0.35">
      <c r="Z27" s="2"/>
    </row>
    <row r="28" spans="1:26" x14ac:dyDescent="0.35">
      <c r="A28" s="16" t="s">
        <v>19</v>
      </c>
      <c r="B28" s="16" t="s">
        <v>18</v>
      </c>
      <c r="C28" s="16" t="s">
        <v>17</v>
      </c>
      <c r="D28" s="16" t="s">
        <v>16</v>
      </c>
      <c r="E28" s="16" t="s">
        <v>15</v>
      </c>
      <c r="F28" s="16" t="s">
        <v>14</v>
      </c>
      <c r="G28" s="17"/>
      <c r="H28" s="17">
        <v>45650</v>
      </c>
      <c r="I28" s="17">
        <v>45682</v>
      </c>
      <c r="J28" s="17">
        <v>45689</v>
      </c>
      <c r="K28" s="17">
        <v>45717</v>
      </c>
      <c r="L28" s="17">
        <v>45762</v>
      </c>
      <c r="M28" s="17">
        <v>45802</v>
      </c>
      <c r="N28" s="17">
        <v>45833</v>
      </c>
      <c r="O28" s="17">
        <v>45863</v>
      </c>
      <c r="P28" s="17">
        <v>45894</v>
      </c>
      <c r="Q28" s="17">
        <v>45925</v>
      </c>
      <c r="R28" s="17">
        <v>45955</v>
      </c>
      <c r="S28" s="17">
        <v>45986</v>
      </c>
      <c r="T28" s="17">
        <v>46016</v>
      </c>
      <c r="U28" s="17">
        <v>46047</v>
      </c>
      <c r="V28" s="17">
        <v>46078</v>
      </c>
      <c r="W28" s="17">
        <v>46106</v>
      </c>
      <c r="X28" s="17">
        <v>46113</v>
      </c>
      <c r="Y28" s="18" t="s">
        <v>13</v>
      </c>
      <c r="Z28" s="2"/>
    </row>
    <row r="29" spans="1:26" x14ac:dyDescent="0.35">
      <c r="A29" s="15">
        <v>3</v>
      </c>
      <c r="B29" s="15" t="s">
        <v>33</v>
      </c>
      <c r="C29" s="15" t="s">
        <v>11</v>
      </c>
      <c r="D29" s="15">
        <v>1850100</v>
      </c>
      <c r="E29" s="14" t="s">
        <v>10</v>
      </c>
      <c r="F29" s="3">
        <v>92505</v>
      </c>
      <c r="G29" s="7"/>
      <c r="H29" s="7"/>
      <c r="I29" s="7"/>
      <c r="J29" s="7"/>
      <c r="K29" s="7"/>
      <c r="L29" s="3">
        <v>0</v>
      </c>
      <c r="M29" s="3">
        <v>0</v>
      </c>
      <c r="N29" s="23">
        <v>8409</v>
      </c>
      <c r="O29" s="23">
        <v>8409</v>
      </c>
      <c r="P29" s="23">
        <v>8409</v>
      </c>
      <c r="Q29" s="23">
        <v>8409</v>
      </c>
      <c r="R29" s="23">
        <v>8409</v>
      </c>
      <c r="S29" s="23">
        <v>8410</v>
      </c>
      <c r="T29" s="23">
        <v>8410</v>
      </c>
      <c r="U29" s="23">
        <v>8410</v>
      </c>
      <c r="V29" s="23">
        <v>8410</v>
      </c>
      <c r="W29" s="23">
        <v>8410</v>
      </c>
      <c r="X29" s="23">
        <v>8410</v>
      </c>
      <c r="Y29" s="3">
        <v>92505</v>
      </c>
      <c r="Z29" s="3"/>
    </row>
    <row r="30" spans="1:26" x14ac:dyDescent="0.35">
      <c r="A30" s="8"/>
      <c r="B30" s="8"/>
      <c r="C30" s="8"/>
      <c r="D30" s="8"/>
      <c r="E30" s="14" t="s">
        <v>9</v>
      </c>
      <c r="F30" s="3">
        <v>92505</v>
      </c>
      <c r="G30" s="7"/>
      <c r="H30" s="7"/>
      <c r="I30" s="7"/>
      <c r="J30" s="7"/>
      <c r="K30" s="7"/>
      <c r="L30" s="3">
        <v>0</v>
      </c>
      <c r="M30" s="3">
        <v>0</v>
      </c>
      <c r="N30" s="3">
        <v>0</v>
      </c>
      <c r="O30" s="3">
        <v>11200.25</v>
      </c>
      <c r="P30" s="3">
        <v>32778</v>
      </c>
      <c r="Q30" s="3">
        <v>6065.84</v>
      </c>
      <c r="R30" s="3">
        <v>6065.84</v>
      </c>
      <c r="S30" s="3">
        <v>6065.84</v>
      </c>
      <c r="T30" s="3">
        <v>6065.84</v>
      </c>
      <c r="U30" s="3">
        <v>6065.84</v>
      </c>
      <c r="V30" s="3">
        <v>6065.85</v>
      </c>
      <c r="W30" s="3">
        <v>6065.85</v>
      </c>
      <c r="X30" s="3">
        <v>6065.85</v>
      </c>
      <c r="Y30" s="3">
        <v>92505</v>
      </c>
      <c r="Z30" s="3"/>
    </row>
    <row r="31" spans="1:26" x14ac:dyDescent="0.35">
      <c r="A31" s="8"/>
      <c r="B31" s="8"/>
      <c r="C31" s="8"/>
      <c r="D31" s="8"/>
      <c r="E31" s="14" t="s">
        <v>8</v>
      </c>
      <c r="F31" s="3">
        <v>92505</v>
      </c>
      <c r="G31" s="7"/>
      <c r="H31" s="7"/>
      <c r="I31" s="7"/>
      <c r="J31" s="7"/>
      <c r="K31" s="7"/>
      <c r="L31" s="3">
        <v>0</v>
      </c>
      <c r="M31" s="3">
        <v>46253</v>
      </c>
      <c r="N31" s="3">
        <v>0</v>
      </c>
      <c r="O31" s="3">
        <v>0</v>
      </c>
      <c r="P31" s="3">
        <v>0</v>
      </c>
      <c r="Q31" s="3">
        <v>0</v>
      </c>
      <c r="R31" s="3">
        <v>6607</v>
      </c>
      <c r="S31" s="3">
        <v>6607</v>
      </c>
      <c r="T31" s="3">
        <v>6607</v>
      </c>
      <c r="U31" s="3">
        <v>6607</v>
      </c>
      <c r="V31" s="3">
        <v>6608</v>
      </c>
      <c r="W31" s="3">
        <v>6608</v>
      </c>
      <c r="X31" s="3">
        <v>6608</v>
      </c>
      <c r="Y31" s="3">
        <v>92505</v>
      </c>
      <c r="Z31" s="3"/>
    </row>
    <row r="32" spans="1:26" x14ac:dyDescent="0.35">
      <c r="A32" s="8"/>
      <c r="B32" s="8"/>
      <c r="C32" s="8"/>
      <c r="D32" s="8"/>
      <c r="E32" s="13" t="s">
        <v>21</v>
      </c>
      <c r="F32" s="11">
        <v>277515</v>
      </c>
      <c r="G32" s="12"/>
      <c r="H32" s="12"/>
      <c r="I32" s="12"/>
      <c r="J32" s="12"/>
      <c r="K32" s="12"/>
      <c r="L32" s="11">
        <v>0</v>
      </c>
      <c r="M32" s="11">
        <f>SUM(M29:M31)</f>
        <v>46253</v>
      </c>
      <c r="N32" s="11">
        <f>SUM(N29:N31)</f>
        <v>8409</v>
      </c>
      <c r="O32" s="11">
        <v>19609.25</v>
      </c>
      <c r="P32" s="11">
        <v>41187</v>
      </c>
      <c r="Q32" s="11">
        <v>14474.84</v>
      </c>
      <c r="R32" s="11">
        <v>21081.84</v>
      </c>
      <c r="S32" s="11">
        <v>21082.84</v>
      </c>
      <c r="T32" s="11">
        <v>21082.84</v>
      </c>
      <c r="U32" s="11">
        <v>21082.84</v>
      </c>
      <c r="V32" s="11">
        <v>21083.85</v>
      </c>
      <c r="W32" s="11">
        <v>21083.85</v>
      </c>
      <c r="X32" s="11">
        <v>21083.85</v>
      </c>
      <c r="Y32" s="11">
        <v>277515</v>
      </c>
      <c r="Z32" s="2"/>
    </row>
    <row r="33" spans="1:26" x14ac:dyDescent="0.35">
      <c r="A33" s="8"/>
      <c r="B33" s="8"/>
      <c r="C33" s="8"/>
      <c r="D33" s="8"/>
      <c r="E33" s="9" t="s">
        <v>20</v>
      </c>
      <c r="F33" s="3">
        <v>1572585</v>
      </c>
      <c r="G33" s="7"/>
      <c r="H33" s="7"/>
      <c r="I33" s="7"/>
      <c r="J33" s="7"/>
      <c r="K33" s="7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2"/>
    </row>
    <row r="34" spans="1:26" x14ac:dyDescent="0.35">
      <c r="A34" s="8"/>
      <c r="B34" s="8"/>
      <c r="C34" s="8"/>
      <c r="D34" s="8"/>
      <c r="E34" s="3" t="s">
        <v>5</v>
      </c>
      <c r="F34" s="3">
        <v>546640</v>
      </c>
      <c r="G34" s="7"/>
      <c r="H34" s="7"/>
      <c r="I34" s="7"/>
      <c r="J34" s="7"/>
      <c r="K34" s="7"/>
      <c r="L34" s="3"/>
      <c r="M34" s="3"/>
      <c r="N34" s="3">
        <v>15109</v>
      </c>
      <c r="O34" s="23">
        <v>44412</v>
      </c>
      <c r="P34" s="23">
        <v>54665</v>
      </c>
      <c r="Q34" s="23">
        <v>54056.75</v>
      </c>
      <c r="R34" s="23">
        <v>54056.75</v>
      </c>
      <c r="S34" s="23">
        <v>54056.75</v>
      </c>
      <c r="T34" s="23">
        <v>54056.75</v>
      </c>
      <c r="U34" s="23">
        <v>54056.75</v>
      </c>
      <c r="V34" s="23">
        <v>54056.75</v>
      </c>
      <c r="W34" s="23">
        <v>54056.75</v>
      </c>
      <c r="X34" s="23">
        <v>54056.75</v>
      </c>
      <c r="Y34" s="3">
        <v>546640</v>
      </c>
      <c r="Z34" s="2"/>
    </row>
    <row r="35" spans="1:26" x14ac:dyDescent="0.35">
      <c r="A35" s="8"/>
      <c r="B35" s="8"/>
      <c r="C35" s="8"/>
      <c r="D35" s="8"/>
      <c r="E35" s="9" t="s">
        <v>4</v>
      </c>
      <c r="F35" s="3">
        <v>633117</v>
      </c>
      <c r="G35" s="7"/>
      <c r="H35" s="7"/>
      <c r="I35" s="7"/>
      <c r="J35" s="7"/>
      <c r="K35" s="7"/>
      <c r="L35" s="3">
        <v>22408</v>
      </c>
      <c r="M35" s="3">
        <v>0</v>
      </c>
      <c r="N35" s="3">
        <v>2700</v>
      </c>
      <c r="O35" s="3">
        <v>743</v>
      </c>
      <c r="P35" s="3">
        <v>4625</v>
      </c>
      <c r="Q35" s="3">
        <v>60481.9</v>
      </c>
      <c r="R35" s="3">
        <v>542159.1</v>
      </c>
      <c r="S35" s="3"/>
      <c r="T35" s="3"/>
      <c r="U35" s="3"/>
      <c r="V35" s="3"/>
      <c r="W35" s="3"/>
      <c r="X35" s="3"/>
      <c r="Y35" s="3">
        <v>633117</v>
      </c>
      <c r="Z35" s="2"/>
    </row>
    <row r="36" spans="1:26" x14ac:dyDescent="0.35">
      <c r="A36" s="8"/>
      <c r="B36" s="8"/>
      <c r="C36" s="8"/>
      <c r="D36" s="8"/>
      <c r="E36" s="3" t="s">
        <v>3</v>
      </c>
      <c r="F36" s="3">
        <v>351117</v>
      </c>
      <c r="G36" s="7"/>
      <c r="H36" s="7"/>
      <c r="I36" s="7"/>
      <c r="J36" s="7"/>
      <c r="K36" s="7"/>
      <c r="L36" s="3"/>
      <c r="M36" s="3"/>
      <c r="N36" s="3"/>
      <c r="O36" s="3"/>
      <c r="P36" s="3"/>
      <c r="Q36" s="3">
        <v>0</v>
      </c>
      <c r="R36" s="3">
        <v>117039</v>
      </c>
      <c r="S36" s="3">
        <v>117039</v>
      </c>
      <c r="T36" s="3">
        <v>117039</v>
      </c>
      <c r="U36" s="3"/>
      <c r="V36" s="3"/>
      <c r="W36" s="3"/>
      <c r="X36" s="3"/>
      <c r="Y36" s="3">
        <v>351117</v>
      </c>
      <c r="Z36" s="2"/>
    </row>
    <row r="37" spans="1:26" x14ac:dyDescent="0.35">
      <c r="A37" s="8"/>
      <c r="B37" s="8"/>
      <c r="C37" s="8"/>
      <c r="D37" s="8"/>
      <c r="E37" s="3" t="s">
        <v>2</v>
      </c>
      <c r="F37" s="3">
        <v>41711</v>
      </c>
      <c r="G37" s="7"/>
      <c r="H37" s="7"/>
      <c r="I37" s="7"/>
      <c r="J37" s="7"/>
      <c r="K37" s="7"/>
      <c r="L37" s="3"/>
      <c r="M37" s="3"/>
      <c r="N37" s="3"/>
      <c r="O37" s="3"/>
      <c r="P37" s="3"/>
      <c r="Q37" s="3"/>
      <c r="R37" s="3"/>
      <c r="S37" s="3"/>
      <c r="T37" s="3"/>
      <c r="U37" s="3">
        <v>10427</v>
      </c>
      <c r="V37" s="3">
        <v>10428</v>
      </c>
      <c r="W37" s="3">
        <v>10428</v>
      </c>
      <c r="X37" s="3">
        <v>10428</v>
      </c>
      <c r="Y37" s="20">
        <v>41711</v>
      </c>
      <c r="Z37" s="2"/>
    </row>
    <row r="38" spans="1:26" x14ac:dyDescent="0.35">
      <c r="A38" s="6"/>
      <c r="B38" s="6"/>
      <c r="C38" s="6"/>
      <c r="D38" s="6"/>
      <c r="E38" s="4" t="s">
        <v>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3"/>
      <c r="Y38" s="2"/>
      <c r="Z38" s="2"/>
    </row>
    <row r="39" spans="1:26" x14ac:dyDescent="0.35">
      <c r="Z39" s="2"/>
    </row>
    <row r="40" spans="1:26" x14ac:dyDescent="0.35">
      <c r="Z40" s="2"/>
    </row>
    <row r="41" spans="1:26" x14ac:dyDescent="0.35">
      <c r="A41" s="16" t="s">
        <v>19</v>
      </c>
      <c r="B41" s="16" t="s">
        <v>18</v>
      </c>
      <c r="C41" s="16" t="s">
        <v>17</v>
      </c>
      <c r="D41" s="16" t="s">
        <v>16</v>
      </c>
      <c r="E41" s="16" t="s">
        <v>15</v>
      </c>
      <c r="F41" s="16" t="s">
        <v>14</v>
      </c>
      <c r="G41" s="17"/>
      <c r="H41" s="17">
        <v>45650</v>
      </c>
      <c r="I41" s="17">
        <v>45682</v>
      </c>
      <c r="J41" s="17">
        <v>45689</v>
      </c>
      <c r="K41" s="17">
        <v>45717</v>
      </c>
      <c r="L41" s="17">
        <v>45762</v>
      </c>
      <c r="M41" s="17">
        <v>45802</v>
      </c>
      <c r="N41" s="17">
        <v>45833</v>
      </c>
      <c r="O41" s="17">
        <v>45863</v>
      </c>
      <c r="P41" s="17">
        <v>45894</v>
      </c>
      <c r="Q41" s="17">
        <v>45925</v>
      </c>
      <c r="R41" s="17">
        <v>45955</v>
      </c>
      <c r="S41" s="17">
        <v>45986</v>
      </c>
      <c r="T41" s="17">
        <v>46016</v>
      </c>
      <c r="U41" s="17">
        <v>46047</v>
      </c>
      <c r="V41" s="17">
        <v>46078</v>
      </c>
      <c r="W41" s="17">
        <v>46106</v>
      </c>
      <c r="X41" s="17">
        <v>46113</v>
      </c>
      <c r="Y41" s="16" t="s">
        <v>13</v>
      </c>
      <c r="Z41" s="2"/>
    </row>
    <row r="42" spans="1:26" x14ac:dyDescent="0.35">
      <c r="A42" s="15">
        <v>4</v>
      </c>
      <c r="B42" s="15" t="s">
        <v>32</v>
      </c>
      <c r="C42" s="15" t="s">
        <v>11</v>
      </c>
      <c r="D42" s="15">
        <v>1000000</v>
      </c>
      <c r="E42" s="14" t="s">
        <v>10</v>
      </c>
      <c r="F42" s="3">
        <v>50000</v>
      </c>
      <c r="G42" s="7"/>
      <c r="H42" s="7"/>
      <c r="I42" s="7"/>
      <c r="J42" s="3">
        <v>0</v>
      </c>
      <c r="K42" s="3">
        <v>0</v>
      </c>
      <c r="L42" s="3">
        <v>0</v>
      </c>
      <c r="M42" s="3">
        <v>0</v>
      </c>
      <c r="N42" s="23">
        <v>6250</v>
      </c>
      <c r="O42" s="23">
        <v>6250</v>
      </c>
      <c r="P42" s="23">
        <v>6250</v>
      </c>
      <c r="Q42" s="23">
        <v>6250</v>
      </c>
      <c r="R42" s="23">
        <v>6250</v>
      </c>
      <c r="S42" s="23">
        <v>6250</v>
      </c>
      <c r="T42" s="23">
        <v>6250</v>
      </c>
      <c r="U42" s="23">
        <v>6250</v>
      </c>
      <c r="V42" s="7"/>
      <c r="W42" s="7"/>
      <c r="X42" s="7"/>
      <c r="Y42" s="3">
        <v>50000</v>
      </c>
      <c r="Z42" s="2"/>
    </row>
    <row r="43" spans="1:26" x14ac:dyDescent="0.35">
      <c r="A43" s="8"/>
      <c r="B43" s="8"/>
      <c r="C43" s="8"/>
      <c r="D43" s="8"/>
      <c r="E43" s="14" t="s">
        <v>9</v>
      </c>
      <c r="F43" s="3">
        <v>50000</v>
      </c>
      <c r="G43" s="7"/>
      <c r="H43" s="7"/>
      <c r="I43" s="7"/>
      <c r="J43" s="3">
        <v>0</v>
      </c>
      <c r="K43" s="3">
        <v>0</v>
      </c>
      <c r="L43" s="3">
        <v>0</v>
      </c>
      <c r="M43" s="3">
        <v>5997</v>
      </c>
      <c r="N43" s="3">
        <f>4720+4296+1321</f>
        <v>10337</v>
      </c>
      <c r="O43" s="3">
        <v>11200.25</v>
      </c>
      <c r="P43" s="3">
        <v>18768</v>
      </c>
      <c r="Q43" s="3">
        <v>739.55</v>
      </c>
      <c r="R43" s="3">
        <v>739.55</v>
      </c>
      <c r="S43" s="3">
        <v>739.55</v>
      </c>
      <c r="T43" s="3">
        <v>739.55</v>
      </c>
      <c r="U43" s="3">
        <v>739.55</v>
      </c>
      <c r="V43" s="7"/>
      <c r="W43" s="7"/>
      <c r="X43" s="7"/>
      <c r="Y43" s="3">
        <v>50000</v>
      </c>
      <c r="Z43" s="2"/>
    </row>
    <row r="44" spans="1:26" x14ac:dyDescent="0.35">
      <c r="A44" s="8"/>
      <c r="B44" s="8"/>
      <c r="C44" s="8"/>
      <c r="D44" s="8"/>
      <c r="E44" s="14" t="s">
        <v>8</v>
      </c>
      <c r="F44" s="3">
        <v>50000</v>
      </c>
      <c r="G44" s="7"/>
      <c r="H44" s="7"/>
      <c r="I44" s="7"/>
      <c r="J44" s="3">
        <v>0</v>
      </c>
      <c r="K44" s="3">
        <v>0</v>
      </c>
      <c r="L44" s="3">
        <v>0</v>
      </c>
      <c r="M44" s="3">
        <v>25000</v>
      </c>
      <c r="N44" s="3">
        <v>0</v>
      </c>
      <c r="O44" s="3">
        <v>0</v>
      </c>
      <c r="P44" s="3">
        <v>0</v>
      </c>
      <c r="Q44" s="3">
        <v>0</v>
      </c>
      <c r="R44" s="3">
        <v>6250</v>
      </c>
      <c r="S44" s="3">
        <v>6250</v>
      </c>
      <c r="T44" s="3">
        <v>6250</v>
      </c>
      <c r="U44" s="3">
        <v>6250</v>
      </c>
      <c r="V44" s="7"/>
      <c r="W44" s="7"/>
      <c r="X44" s="7"/>
      <c r="Y44" s="3">
        <v>50000</v>
      </c>
      <c r="Z44" s="2"/>
    </row>
    <row r="45" spans="1:26" x14ac:dyDescent="0.35">
      <c r="A45" s="8"/>
      <c r="B45" s="8"/>
      <c r="C45" s="8"/>
      <c r="D45" s="8"/>
      <c r="E45" s="13" t="s">
        <v>21</v>
      </c>
      <c r="F45" s="11">
        <v>150000</v>
      </c>
      <c r="G45" s="12"/>
      <c r="H45" s="12"/>
      <c r="I45" s="12"/>
      <c r="J45" s="11"/>
      <c r="K45" s="11"/>
      <c r="L45" s="11"/>
      <c r="M45" s="11">
        <v>30997</v>
      </c>
      <c r="N45" s="11">
        <v>16587</v>
      </c>
      <c r="O45" s="11">
        <v>17450.25</v>
      </c>
      <c r="P45" s="11">
        <v>25018</v>
      </c>
      <c r="Q45" s="11">
        <v>6989.55</v>
      </c>
      <c r="R45" s="11">
        <v>13239.55</v>
      </c>
      <c r="S45" s="11">
        <v>13239.55</v>
      </c>
      <c r="T45" s="11">
        <v>13239.55</v>
      </c>
      <c r="U45" s="11">
        <v>13239.55</v>
      </c>
      <c r="V45" s="12"/>
      <c r="W45" s="12"/>
      <c r="X45" s="7"/>
      <c r="Y45" s="3">
        <v>1500000</v>
      </c>
      <c r="Z45" s="2"/>
    </row>
    <row r="46" spans="1:26" x14ac:dyDescent="0.35">
      <c r="A46" s="8"/>
      <c r="B46" s="8"/>
      <c r="C46" s="8"/>
      <c r="D46" s="8"/>
      <c r="E46" s="9" t="s">
        <v>20</v>
      </c>
      <c r="F46" s="3">
        <v>850000</v>
      </c>
      <c r="G46" s="7"/>
      <c r="H46" s="7"/>
      <c r="I46" s="7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7"/>
      <c r="W46" s="7"/>
      <c r="X46" s="7"/>
      <c r="Y46" s="3"/>
      <c r="Z46" s="2"/>
    </row>
    <row r="47" spans="1:26" x14ac:dyDescent="0.35">
      <c r="A47" s="8"/>
      <c r="B47" s="8"/>
      <c r="C47" s="8"/>
      <c r="D47" s="8"/>
      <c r="E47" s="3" t="s">
        <v>5</v>
      </c>
      <c r="F47" s="3">
        <v>171556</v>
      </c>
      <c r="G47" s="7"/>
      <c r="H47" s="7"/>
      <c r="I47" s="7"/>
      <c r="J47" s="3">
        <v>0</v>
      </c>
      <c r="K47" s="3">
        <v>0</v>
      </c>
      <c r="L47" s="3">
        <v>0</v>
      </c>
      <c r="M47" s="3">
        <v>8796</v>
      </c>
      <c r="N47" s="3">
        <v>15545</v>
      </c>
      <c r="O47" s="23">
        <v>24509</v>
      </c>
      <c r="P47" s="23">
        <v>24509</v>
      </c>
      <c r="Q47" s="23">
        <v>19639</v>
      </c>
      <c r="R47" s="23">
        <v>19639</v>
      </c>
      <c r="S47" s="23">
        <v>19639</v>
      </c>
      <c r="T47" s="23">
        <v>19640</v>
      </c>
      <c r="U47" s="23">
        <v>19640</v>
      </c>
      <c r="V47" s="7"/>
      <c r="W47" s="7"/>
      <c r="X47" s="7"/>
      <c r="Y47" s="3">
        <v>171556</v>
      </c>
      <c r="Z47" s="2"/>
    </row>
    <row r="48" spans="1:26" x14ac:dyDescent="0.35">
      <c r="A48" s="8"/>
      <c r="B48" s="8"/>
      <c r="C48" s="8"/>
      <c r="D48" s="8"/>
      <c r="E48" s="9" t="s">
        <v>4</v>
      </c>
      <c r="F48" s="3">
        <f>416500-F47/2-F42/3-F43/3</f>
        <v>297388.66666666663</v>
      </c>
      <c r="G48" s="7"/>
      <c r="H48" s="7"/>
      <c r="I48" s="7"/>
      <c r="J48" s="3">
        <v>520</v>
      </c>
      <c r="K48" s="3">
        <v>0</v>
      </c>
      <c r="L48" s="3">
        <v>0</v>
      </c>
      <c r="M48" s="3">
        <f>7021+27451+5542+2877</f>
        <v>42891</v>
      </c>
      <c r="N48" s="23">
        <v>147297</v>
      </c>
      <c r="O48" s="3">
        <v>87500</v>
      </c>
      <c r="P48" s="23">
        <v>0</v>
      </c>
      <c r="Q48" s="3">
        <v>0</v>
      </c>
      <c r="R48" s="3">
        <v>19180.667000000001</v>
      </c>
      <c r="S48" s="3"/>
      <c r="T48" s="3"/>
      <c r="U48" s="3"/>
      <c r="V48" s="7"/>
      <c r="W48" s="7"/>
      <c r="X48" s="7"/>
      <c r="Y48" s="3">
        <v>297388.6667</v>
      </c>
      <c r="Z48" s="2"/>
    </row>
    <row r="49" spans="1:30" x14ac:dyDescent="0.35">
      <c r="A49" s="8"/>
      <c r="B49" s="8"/>
      <c r="C49" s="8"/>
      <c r="D49" s="8"/>
      <c r="E49" s="3" t="s">
        <v>3</v>
      </c>
      <c r="F49" s="3">
        <f>458500-F47/2-F42/3-F43/3</f>
        <v>339388.66666666663</v>
      </c>
      <c r="G49" s="7"/>
      <c r="H49" s="7"/>
      <c r="I49" s="7"/>
      <c r="J49" s="3"/>
      <c r="K49" s="3"/>
      <c r="L49" s="3"/>
      <c r="M49" s="3"/>
      <c r="N49" s="3">
        <v>36293</v>
      </c>
      <c r="O49" s="3">
        <v>230</v>
      </c>
      <c r="P49" s="3">
        <v>11499</v>
      </c>
      <c r="Q49" s="3">
        <v>0</v>
      </c>
      <c r="R49" s="3">
        <v>291366.66700000002</v>
      </c>
      <c r="S49" s="3"/>
      <c r="T49" s="3"/>
      <c r="U49" s="3"/>
      <c r="V49" s="7"/>
      <c r="W49" s="7"/>
      <c r="X49" s="7"/>
      <c r="Y49" s="3">
        <v>339388.66667000001</v>
      </c>
      <c r="Z49" s="2"/>
    </row>
    <row r="50" spans="1:30" x14ac:dyDescent="0.35">
      <c r="A50" s="8"/>
      <c r="B50" s="8"/>
      <c r="C50" s="8"/>
      <c r="D50" s="8"/>
      <c r="E50" s="3" t="s">
        <v>2</v>
      </c>
      <c r="F50" s="3">
        <f>125000-F44-F42/3-F43/3</f>
        <v>41666.666666666657</v>
      </c>
      <c r="G50" s="7"/>
      <c r="H50" s="7"/>
      <c r="I50" s="7"/>
      <c r="J50" s="3"/>
      <c r="K50" s="3"/>
      <c r="L50" s="3"/>
      <c r="M50" s="3"/>
      <c r="N50" s="3"/>
      <c r="O50" s="3"/>
      <c r="P50" s="3"/>
      <c r="Q50" s="3"/>
      <c r="R50" s="3"/>
      <c r="S50" s="3">
        <v>13888.888999999999</v>
      </c>
      <c r="T50" s="3">
        <v>13888.888999999999</v>
      </c>
      <c r="U50" s="3">
        <v>13888.888999999999</v>
      </c>
      <c r="V50" s="7"/>
      <c r="W50" s="7"/>
      <c r="X50" s="7"/>
      <c r="Y50" s="3">
        <v>41666.666700000002</v>
      </c>
      <c r="Z50" s="2"/>
    </row>
    <row r="51" spans="1:30" x14ac:dyDescent="0.35">
      <c r="A51" s="6"/>
      <c r="B51" s="6"/>
      <c r="C51" s="6"/>
      <c r="D51" s="6"/>
      <c r="E51" s="4" t="s">
        <v>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3"/>
      <c r="Y51" s="3"/>
      <c r="Z51" s="2"/>
    </row>
    <row r="52" spans="1:30" x14ac:dyDescent="0.35">
      <c r="Z52" s="2"/>
    </row>
    <row r="53" spans="1:30" x14ac:dyDescent="0.35">
      <c r="Z53" s="2"/>
    </row>
    <row r="54" spans="1:30" x14ac:dyDescent="0.35">
      <c r="A54" s="16" t="s">
        <v>19</v>
      </c>
      <c r="B54" s="16" t="s">
        <v>18</v>
      </c>
      <c r="C54" s="16" t="s">
        <v>17</v>
      </c>
      <c r="D54" s="16" t="s">
        <v>16</v>
      </c>
      <c r="E54" s="16" t="s">
        <v>15</v>
      </c>
      <c r="F54" s="16" t="s">
        <v>14</v>
      </c>
      <c r="G54" s="17">
        <v>45552</v>
      </c>
      <c r="H54" s="17">
        <v>45616</v>
      </c>
      <c r="I54" s="17">
        <v>45682</v>
      </c>
      <c r="J54" s="17">
        <v>45689</v>
      </c>
      <c r="K54" s="17">
        <v>45717</v>
      </c>
      <c r="L54" s="17">
        <v>45762</v>
      </c>
      <c r="M54" s="17">
        <v>45802</v>
      </c>
      <c r="N54" s="17">
        <v>45833</v>
      </c>
      <c r="O54" s="17">
        <v>45863</v>
      </c>
      <c r="P54" s="17">
        <v>45894</v>
      </c>
      <c r="Q54" s="17">
        <v>45925</v>
      </c>
      <c r="R54" s="17">
        <v>45955</v>
      </c>
      <c r="S54" s="17">
        <v>45986</v>
      </c>
      <c r="T54" s="17">
        <v>46016</v>
      </c>
      <c r="U54" s="17">
        <v>46047</v>
      </c>
      <c r="V54" s="17">
        <v>46078</v>
      </c>
      <c r="W54" s="17">
        <v>46106</v>
      </c>
      <c r="X54" s="17">
        <v>46113</v>
      </c>
      <c r="Y54" s="16" t="s">
        <v>13</v>
      </c>
      <c r="Z54" s="2" t="s">
        <v>23</v>
      </c>
    </row>
    <row r="55" spans="1:30" x14ac:dyDescent="0.35">
      <c r="A55" s="15">
        <v>5</v>
      </c>
      <c r="B55" s="15" t="s">
        <v>31</v>
      </c>
      <c r="C55" s="15" t="s">
        <v>11</v>
      </c>
      <c r="D55" s="15">
        <v>5422200</v>
      </c>
      <c r="E55" s="14" t="s">
        <v>10</v>
      </c>
      <c r="F55" s="3">
        <v>271110</v>
      </c>
      <c r="G55" s="3">
        <v>0</v>
      </c>
      <c r="H55" s="3">
        <v>0</v>
      </c>
      <c r="I55" s="3">
        <v>37781</v>
      </c>
      <c r="J55" s="3">
        <v>109715</v>
      </c>
      <c r="K55" s="3">
        <v>132144</v>
      </c>
      <c r="L55" s="3">
        <v>58373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/>
      <c r="V55" s="3"/>
      <c r="W55" s="3"/>
      <c r="X55" s="3"/>
      <c r="Y55" s="27">
        <v>338013</v>
      </c>
      <c r="Z55" s="32" t="s">
        <v>30</v>
      </c>
    </row>
    <row r="56" spans="1:30" x14ac:dyDescent="0.35">
      <c r="A56" s="8"/>
      <c r="B56" s="8"/>
      <c r="C56" s="8"/>
      <c r="D56" s="8"/>
      <c r="E56" s="14" t="s">
        <v>9</v>
      </c>
      <c r="F56" s="3">
        <v>271110</v>
      </c>
      <c r="G56" s="3">
        <v>0</v>
      </c>
      <c r="H56" s="3">
        <v>0</v>
      </c>
      <c r="I56" s="3">
        <v>0</v>
      </c>
      <c r="J56" s="3">
        <v>28369.5</v>
      </c>
      <c r="K56" s="3">
        <v>102236</v>
      </c>
      <c r="L56" s="3">
        <v>0</v>
      </c>
      <c r="M56" s="3">
        <f>36000</f>
        <v>36000</v>
      </c>
      <c r="N56" s="3">
        <v>0</v>
      </c>
      <c r="O56" s="3">
        <v>0</v>
      </c>
      <c r="P56" s="3">
        <v>53150</v>
      </c>
      <c r="Q56" s="23">
        <v>0</v>
      </c>
      <c r="R56" s="3">
        <v>0</v>
      </c>
      <c r="S56" s="3">
        <v>0</v>
      </c>
      <c r="T56" s="3">
        <v>0</v>
      </c>
      <c r="U56" s="3"/>
      <c r="V56" s="3"/>
      <c r="W56" s="3"/>
      <c r="X56" s="3"/>
      <c r="Y56" s="27">
        <v>219755.5</v>
      </c>
      <c r="Z56" s="31" t="s">
        <v>29</v>
      </c>
      <c r="AA56" s="30">
        <v>-15548.5</v>
      </c>
    </row>
    <row r="57" spans="1:30" x14ac:dyDescent="0.35">
      <c r="A57" s="8"/>
      <c r="B57" s="8"/>
      <c r="C57" s="8"/>
      <c r="D57" s="8"/>
      <c r="E57" s="14" t="s">
        <v>8</v>
      </c>
      <c r="F57" s="3">
        <v>271110</v>
      </c>
      <c r="G57" s="3">
        <v>0</v>
      </c>
      <c r="H57" s="3">
        <v>0</v>
      </c>
      <c r="I57" s="3">
        <v>0</v>
      </c>
      <c r="J57" s="3">
        <v>82000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57853.83</v>
      </c>
      <c r="S57" s="3">
        <v>57853.83</v>
      </c>
      <c r="T57" s="3">
        <v>57853.84</v>
      </c>
      <c r="U57" s="3"/>
      <c r="V57" s="3"/>
      <c r="W57" s="3"/>
      <c r="X57" s="3"/>
      <c r="Y57" s="3">
        <v>255561.5</v>
      </c>
      <c r="Z57" s="2"/>
    </row>
    <row r="58" spans="1:30" x14ac:dyDescent="0.35">
      <c r="A58" s="8"/>
      <c r="B58" s="8"/>
      <c r="C58" s="8"/>
      <c r="D58" s="8"/>
      <c r="E58" s="13" t="s">
        <v>21</v>
      </c>
      <c r="F58" s="11">
        <v>813330</v>
      </c>
      <c r="G58" s="11"/>
      <c r="H58" s="11"/>
      <c r="I58" s="29">
        <v>37781</v>
      </c>
      <c r="J58" s="29">
        <v>220084.5</v>
      </c>
      <c r="K58" s="29">
        <v>234380</v>
      </c>
      <c r="L58" s="29">
        <v>58373</v>
      </c>
      <c r="M58" s="29">
        <v>36000</v>
      </c>
      <c r="N58" s="24">
        <v>0</v>
      </c>
      <c r="O58" s="29">
        <v>0</v>
      </c>
      <c r="P58" s="29">
        <v>53150</v>
      </c>
      <c r="Q58" s="29">
        <v>0</v>
      </c>
      <c r="R58" s="29">
        <v>57853.83</v>
      </c>
      <c r="S58" s="29">
        <v>57853.83</v>
      </c>
      <c r="T58" s="29">
        <v>57853.84</v>
      </c>
      <c r="U58" s="11"/>
      <c r="V58" s="11"/>
      <c r="W58" s="11"/>
      <c r="X58" s="3"/>
      <c r="Y58" s="3">
        <v>813330</v>
      </c>
      <c r="Z58" s="2"/>
    </row>
    <row r="59" spans="1:30" x14ac:dyDescent="0.35">
      <c r="A59" s="8"/>
      <c r="B59" s="8"/>
      <c r="C59" s="8"/>
      <c r="D59" s="8"/>
      <c r="E59" s="9" t="s">
        <v>20</v>
      </c>
      <c r="F59" s="3">
        <v>4608870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2"/>
    </row>
    <row r="60" spans="1:30" x14ac:dyDescent="0.35">
      <c r="A60" s="8"/>
      <c r="B60" s="8"/>
      <c r="C60" s="8"/>
      <c r="D60" s="8"/>
      <c r="E60" s="3" t="s">
        <v>5</v>
      </c>
      <c r="F60" s="3">
        <v>572746</v>
      </c>
      <c r="G60" s="3">
        <v>0</v>
      </c>
      <c r="H60" s="3">
        <v>0</v>
      </c>
      <c r="I60" s="3">
        <v>19321</v>
      </c>
      <c r="J60" s="3">
        <v>54693</v>
      </c>
      <c r="K60" s="3">
        <v>54693</v>
      </c>
      <c r="L60" s="3">
        <v>54693</v>
      </c>
      <c r="M60" s="3">
        <v>54707</v>
      </c>
      <c r="N60" s="3">
        <v>54707</v>
      </c>
      <c r="O60" s="3">
        <v>54686</v>
      </c>
      <c r="P60" s="3">
        <v>54707</v>
      </c>
      <c r="Q60" s="3">
        <v>42634.75</v>
      </c>
      <c r="R60" s="3">
        <v>42634.75</v>
      </c>
      <c r="S60" s="3">
        <v>42634.75</v>
      </c>
      <c r="T60" s="3">
        <v>42634.75</v>
      </c>
      <c r="U60" s="3"/>
      <c r="V60" s="3"/>
      <c r="W60" s="3"/>
      <c r="X60" s="3"/>
      <c r="Y60" s="3">
        <v>572746</v>
      </c>
      <c r="Z60" s="2"/>
      <c r="AD60" s="1" t="s">
        <v>28</v>
      </c>
    </row>
    <row r="61" spans="1:30" x14ac:dyDescent="0.35">
      <c r="A61" s="8"/>
      <c r="B61" s="8"/>
      <c r="C61" s="8"/>
      <c r="D61" s="8"/>
      <c r="E61" s="9" t="s">
        <v>4</v>
      </c>
      <c r="F61" s="3">
        <f>2004000-F55/3-F56/3-F60/2</f>
        <v>1536887</v>
      </c>
      <c r="G61" s="3">
        <v>2980</v>
      </c>
      <c r="H61" s="3">
        <v>37445.75</v>
      </c>
      <c r="I61" s="3">
        <v>500</v>
      </c>
      <c r="J61" s="3">
        <v>113221</v>
      </c>
      <c r="K61" s="3">
        <v>1041600</v>
      </c>
      <c r="L61" s="3"/>
      <c r="M61" s="3"/>
      <c r="N61" s="3"/>
      <c r="O61" s="3"/>
      <c r="P61" s="3"/>
      <c r="Q61" s="3"/>
      <c r="R61" s="3">
        <v>341140.25</v>
      </c>
      <c r="S61" s="3"/>
      <c r="T61" s="3"/>
      <c r="U61" s="3"/>
      <c r="V61" s="3"/>
      <c r="W61" s="3"/>
      <c r="X61" s="3"/>
      <c r="Y61" s="28">
        <v>1536887</v>
      </c>
      <c r="Z61" s="27"/>
    </row>
    <row r="62" spans="1:30" x14ac:dyDescent="0.35">
      <c r="A62" s="8"/>
      <c r="B62" s="8"/>
      <c r="C62" s="8"/>
      <c r="D62" s="8"/>
      <c r="E62" s="3" t="s">
        <v>3</v>
      </c>
      <c r="F62" s="3">
        <v>2192887</v>
      </c>
      <c r="G62" s="3"/>
      <c r="H62" s="3"/>
      <c r="I62" s="3">
        <v>43692</v>
      </c>
      <c r="J62" s="3">
        <v>122188</v>
      </c>
      <c r="K62" s="3">
        <v>174225.6</v>
      </c>
      <c r="L62" s="3">
        <v>12980</v>
      </c>
      <c r="M62" s="3">
        <v>50369</v>
      </c>
      <c r="N62" s="3">
        <v>21610</v>
      </c>
      <c r="O62" s="3">
        <v>16094</v>
      </c>
      <c r="P62" s="3">
        <v>440835</v>
      </c>
      <c r="Q62" s="3">
        <v>12980</v>
      </c>
      <c r="R62" s="3">
        <v>1297913.3999999999</v>
      </c>
      <c r="S62" s="3"/>
      <c r="T62" s="3"/>
      <c r="U62" s="3"/>
      <c r="V62" s="3"/>
      <c r="W62" s="3"/>
      <c r="X62" s="3"/>
      <c r="Y62" s="3">
        <v>1660221.85</v>
      </c>
      <c r="Z62" s="26"/>
    </row>
    <row r="63" spans="1:30" x14ac:dyDescent="0.35">
      <c r="A63" s="8"/>
      <c r="B63" s="8"/>
      <c r="C63" s="8"/>
      <c r="D63" s="8"/>
      <c r="E63" s="3" t="s">
        <v>2</v>
      </c>
      <c r="F63" s="3">
        <v>306350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>
        <v>153175</v>
      </c>
      <c r="T63" s="3">
        <v>153175</v>
      </c>
      <c r="U63" s="3"/>
      <c r="V63" s="3"/>
      <c r="W63" s="3"/>
      <c r="X63" s="3"/>
      <c r="Y63" s="3">
        <f>758200-Y57-Y55/3-Y56/3</f>
        <v>316715.66666666669</v>
      </c>
      <c r="Z63" s="2"/>
    </row>
    <row r="64" spans="1:30" x14ac:dyDescent="0.35">
      <c r="A64" s="6"/>
      <c r="B64" s="6"/>
      <c r="C64" s="6"/>
      <c r="D64" s="6"/>
      <c r="E64" s="4" t="s">
        <v>1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3"/>
      <c r="Y64" s="3"/>
      <c r="Z64" s="2"/>
    </row>
    <row r="65" spans="1:26" x14ac:dyDescent="0.35">
      <c r="Z65" s="2"/>
    </row>
    <row r="66" spans="1:26" x14ac:dyDescent="0.35">
      <c r="Z66" s="2"/>
    </row>
    <row r="67" spans="1:26" x14ac:dyDescent="0.35">
      <c r="A67" s="16" t="s">
        <v>19</v>
      </c>
      <c r="B67" s="16" t="s">
        <v>18</v>
      </c>
      <c r="C67" s="16" t="s">
        <v>17</v>
      </c>
      <c r="D67" s="16" t="s">
        <v>16</v>
      </c>
      <c r="E67" s="16" t="s">
        <v>15</v>
      </c>
      <c r="F67" s="16" t="s">
        <v>14</v>
      </c>
      <c r="G67" s="17"/>
      <c r="H67" s="17"/>
      <c r="I67" s="17">
        <v>45682</v>
      </c>
      <c r="J67" s="17">
        <v>45689</v>
      </c>
      <c r="K67" s="17">
        <v>45717</v>
      </c>
      <c r="L67" s="17">
        <v>45772</v>
      </c>
      <c r="M67" s="17">
        <v>45778</v>
      </c>
      <c r="N67" s="17">
        <v>45809</v>
      </c>
      <c r="O67" s="17">
        <v>45839</v>
      </c>
      <c r="P67" s="17">
        <v>45870</v>
      </c>
      <c r="Q67" s="17">
        <v>45901</v>
      </c>
      <c r="R67" s="17">
        <v>45931</v>
      </c>
      <c r="S67" s="17">
        <v>45962</v>
      </c>
      <c r="T67" s="17">
        <v>45992</v>
      </c>
      <c r="U67" s="17">
        <v>46023</v>
      </c>
      <c r="V67" s="17">
        <v>46054</v>
      </c>
      <c r="W67" s="17">
        <v>46082</v>
      </c>
      <c r="X67" s="17">
        <v>46137</v>
      </c>
      <c r="Y67" s="16" t="s">
        <v>13</v>
      </c>
      <c r="Z67" s="2"/>
    </row>
    <row r="68" spans="1:26" x14ac:dyDescent="0.35">
      <c r="A68" s="15">
        <v>6</v>
      </c>
      <c r="B68" s="15" t="s">
        <v>27</v>
      </c>
      <c r="C68" s="15" t="s">
        <v>11</v>
      </c>
      <c r="D68" s="15">
        <v>150000</v>
      </c>
      <c r="E68" s="14" t="s">
        <v>10</v>
      </c>
      <c r="F68" s="3">
        <v>0</v>
      </c>
      <c r="G68" s="7"/>
      <c r="H68" s="7"/>
      <c r="I68" s="7"/>
      <c r="J68" s="7"/>
      <c r="K68" s="7"/>
      <c r="L68" s="7"/>
      <c r="M68" s="3">
        <v>0</v>
      </c>
      <c r="N68" s="3">
        <v>0</v>
      </c>
      <c r="O68" s="3">
        <v>0</v>
      </c>
      <c r="P68" s="7"/>
      <c r="Q68" s="7"/>
      <c r="R68" s="7"/>
      <c r="S68" s="7"/>
      <c r="T68" s="7"/>
      <c r="U68" s="7"/>
      <c r="V68" s="7"/>
      <c r="W68" s="7"/>
      <c r="X68" s="7"/>
      <c r="Y68" s="3">
        <v>7500</v>
      </c>
      <c r="Z68" s="2"/>
    </row>
    <row r="69" spans="1:26" x14ac:dyDescent="0.35">
      <c r="A69" s="8"/>
      <c r="B69" s="8"/>
      <c r="C69" s="8"/>
      <c r="D69" s="8"/>
      <c r="E69" s="14" t="s">
        <v>9</v>
      </c>
      <c r="F69" s="3">
        <v>0</v>
      </c>
      <c r="G69" s="7"/>
      <c r="H69" s="7"/>
      <c r="I69" s="7"/>
      <c r="J69" s="7"/>
      <c r="K69" s="7"/>
      <c r="L69" s="7"/>
      <c r="M69" s="3">
        <v>0</v>
      </c>
      <c r="N69" s="19">
        <v>12000</v>
      </c>
      <c r="O69" s="3">
        <v>0</v>
      </c>
      <c r="P69" s="7"/>
      <c r="Q69" s="7"/>
      <c r="R69" s="7"/>
      <c r="S69" s="7"/>
      <c r="T69" s="7"/>
      <c r="U69" s="7"/>
      <c r="V69" s="7"/>
      <c r="W69" s="7"/>
      <c r="X69" s="7"/>
      <c r="Y69" s="3">
        <v>7500</v>
      </c>
      <c r="Z69" s="2"/>
    </row>
    <row r="70" spans="1:26" x14ac:dyDescent="0.35">
      <c r="A70" s="8"/>
      <c r="B70" s="8"/>
      <c r="C70" s="8"/>
      <c r="D70" s="8"/>
      <c r="E70" s="14" t="s">
        <v>8</v>
      </c>
      <c r="F70" s="3">
        <v>7500</v>
      </c>
      <c r="G70" s="7"/>
      <c r="H70" s="7"/>
      <c r="I70" s="7"/>
      <c r="J70" s="7"/>
      <c r="K70" s="7"/>
      <c r="L70" s="7"/>
      <c r="M70" s="3">
        <v>0</v>
      </c>
      <c r="N70" s="3">
        <v>0</v>
      </c>
      <c r="O70" s="3">
        <v>0</v>
      </c>
      <c r="P70" s="7"/>
      <c r="Q70" s="7">
        <v>7500</v>
      </c>
      <c r="R70" s="7"/>
      <c r="S70" s="7"/>
      <c r="T70" s="7"/>
      <c r="U70" s="7"/>
      <c r="V70" s="7"/>
      <c r="W70" s="7"/>
      <c r="X70" s="7"/>
      <c r="Y70" s="3">
        <v>7500</v>
      </c>
      <c r="Z70" s="2"/>
    </row>
    <row r="71" spans="1:26" x14ac:dyDescent="0.35">
      <c r="A71" s="8"/>
      <c r="B71" s="8"/>
      <c r="C71" s="8"/>
      <c r="D71" s="8"/>
      <c r="E71" s="13" t="s">
        <v>7</v>
      </c>
      <c r="F71" s="11">
        <v>7500</v>
      </c>
      <c r="G71" s="12"/>
      <c r="H71" s="12"/>
      <c r="I71" s="12"/>
      <c r="J71" s="12"/>
      <c r="K71" s="12"/>
      <c r="L71" s="12"/>
      <c r="M71" s="11">
        <v>0</v>
      </c>
      <c r="N71" s="11">
        <v>0</v>
      </c>
      <c r="O71" s="11">
        <v>0</v>
      </c>
      <c r="P71" s="12"/>
      <c r="Q71" s="12">
        <v>7500</v>
      </c>
      <c r="R71" s="12"/>
      <c r="S71" s="12"/>
      <c r="T71" s="12"/>
      <c r="U71" s="12"/>
      <c r="V71" s="12"/>
      <c r="W71" s="12"/>
      <c r="X71" s="7"/>
      <c r="Y71" s="16">
        <v>22500</v>
      </c>
      <c r="Z71" s="2"/>
    </row>
    <row r="72" spans="1:26" x14ac:dyDescent="0.35">
      <c r="A72" s="8"/>
      <c r="B72" s="8"/>
      <c r="C72" s="8"/>
      <c r="D72" s="8"/>
      <c r="E72" s="9" t="s">
        <v>6</v>
      </c>
      <c r="F72" s="3">
        <v>142500</v>
      </c>
      <c r="G72" s="7"/>
      <c r="H72" s="7"/>
      <c r="I72" s="7"/>
      <c r="J72" s="7"/>
      <c r="K72" s="7"/>
      <c r="L72" s="7"/>
      <c r="M72" s="3"/>
      <c r="N72" s="3"/>
      <c r="O72" s="3"/>
      <c r="P72" s="7"/>
      <c r="Q72" s="7"/>
      <c r="R72" s="7"/>
      <c r="S72" s="7"/>
      <c r="T72" s="7"/>
      <c r="U72" s="7"/>
      <c r="V72" s="7"/>
      <c r="W72" s="7"/>
      <c r="X72" s="7"/>
      <c r="Y72" s="3"/>
      <c r="Z72" s="2"/>
    </row>
    <row r="73" spans="1:26" x14ac:dyDescent="0.35">
      <c r="A73" s="8"/>
      <c r="B73" s="8"/>
      <c r="C73" s="8"/>
      <c r="D73" s="8"/>
      <c r="E73" s="3" t="s">
        <v>5</v>
      </c>
      <c r="F73" s="3">
        <v>60312</v>
      </c>
      <c r="G73" s="7"/>
      <c r="H73" s="7"/>
      <c r="I73" s="7"/>
      <c r="J73" s="7"/>
      <c r="K73" s="7"/>
      <c r="L73" s="7"/>
      <c r="M73" s="3">
        <v>0</v>
      </c>
      <c r="N73" s="3">
        <v>0</v>
      </c>
      <c r="O73" s="3">
        <v>30739</v>
      </c>
      <c r="P73" s="7">
        <v>10171</v>
      </c>
      <c r="Q73" s="7">
        <v>19402</v>
      </c>
      <c r="R73" s="7"/>
      <c r="S73" s="7"/>
      <c r="T73" s="7"/>
      <c r="U73" s="7"/>
      <c r="V73" s="7"/>
      <c r="W73" s="7"/>
      <c r="X73" s="7"/>
      <c r="Y73" s="3">
        <v>60312</v>
      </c>
      <c r="Z73" s="2"/>
    </row>
    <row r="74" spans="1:26" x14ac:dyDescent="0.35">
      <c r="A74" s="8"/>
      <c r="B74" s="8"/>
      <c r="C74" s="8"/>
      <c r="D74" s="8"/>
      <c r="E74" s="9" t="s">
        <v>4</v>
      </c>
      <c r="F74" s="3">
        <f>82000-F73/2</f>
        <v>51844</v>
      </c>
      <c r="G74" s="7"/>
      <c r="H74" s="7"/>
      <c r="I74" s="7"/>
      <c r="J74" s="7"/>
      <c r="K74" s="7"/>
      <c r="L74" s="7"/>
      <c r="M74" s="3">
        <v>0</v>
      </c>
      <c r="N74" s="3">
        <v>0</v>
      </c>
      <c r="O74" s="19">
        <v>677</v>
      </c>
      <c r="P74" s="19">
        <v>44825</v>
      </c>
      <c r="Q74" s="19">
        <v>23600</v>
      </c>
      <c r="R74" s="7"/>
      <c r="S74" s="7"/>
      <c r="T74" s="7"/>
      <c r="U74" s="7"/>
      <c r="V74" s="7"/>
      <c r="W74" s="7"/>
      <c r="X74" s="7"/>
      <c r="Y74" s="3">
        <v>51844</v>
      </c>
      <c r="Z74" s="2"/>
    </row>
    <row r="75" spans="1:26" x14ac:dyDescent="0.35">
      <c r="A75" s="8"/>
      <c r="B75" s="8"/>
      <c r="C75" s="8"/>
      <c r="D75" s="8"/>
      <c r="E75" s="3" t="s">
        <v>3</v>
      </c>
      <c r="F75" s="3">
        <f>53656-F73/2</f>
        <v>23500</v>
      </c>
      <c r="G75" s="7"/>
      <c r="H75" s="7"/>
      <c r="I75" s="7"/>
      <c r="J75" s="7"/>
      <c r="K75" s="7"/>
      <c r="L75" s="7"/>
      <c r="M75" s="3"/>
      <c r="N75" s="3">
        <v>0</v>
      </c>
      <c r="O75" s="3">
        <v>0</v>
      </c>
      <c r="P75" s="7">
        <v>12988</v>
      </c>
      <c r="Q75" s="7">
        <v>0</v>
      </c>
      <c r="R75" s="7">
        <v>10512</v>
      </c>
      <c r="S75" s="7"/>
      <c r="T75" s="7"/>
      <c r="U75" s="7"/>
      <c r="V75" s="7"/>
      <c r="W75" s="7"/>
      <c r="X75" s="7"/>
      <c r="Y75" s="3">
        <v>23500</v>
      </c>
      <c r="Z75" s="2"/>
    </row>
    <row r="76" spans="1:26" x14ac:dyDescent="0.35">
      <c r="A76" s="8"/>
      <c r="B76" s="8"/>
      <c r="C76" s="8"/>
      <c r="D76" s="8"/>
      <c r="E76" s="3" t="s">
        <v>2</v>
      </c>
      <c r="F76" s="3">
        <f>14344-F70</f>
        <v>6844</v>
      </c>
      <c r="G76" s="7"/>
      <c r="H76" s="7"/>
      <c r="I76" s="7"/>
      <c r="J76" s="7"/>
      <c r="K76" s="7"/>
      <c r="L76" s="7"/>
      <c r="M76" s="3"/>
      <c r="N76" s="3"/>
      <c r="O76" s="3">
        <v>0</v>
      </c>
      <c r="P76" s="7"/>
      <c r="Q76" s="7"/>
      <c r="R76" s="7">
        <v>6844</v>
      </c>
      <c r="S76" s="7"/>
      <c r="T76" s="7"/>
      <c r="U76" s="7"/>
      <c r="V76" s="7"/>
      <c r="W76" s="7"/>
      <c r="X76" s="7"/>
      <c r="Y76" s="3">
        <v>6844</v>
      </c>
      <c r="Z76" s="2"/>
    </row>
    <row r="77" spans="1:26" x14ac:dyDescent="0.35">
      <c r="A77" s="6"/>
      <c r="B77" s="6"/>
      <c r="C77" s="6"/>
      <c r="D77" s="6"/>
      <c r="E77" s="4" t="s">
        <v>1</v>
      </c>
      <c r="F77" s="4"/>
      <c r="G77" s="25"/>
      <c r="H77" s="25"/>
      <c r="I77" s="25"/>
      <c r="J77" s="25"/>
      <c r="K77" s="25"/>
      <c r="L77" s="25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3"/>
      <c r="Y77" s="3"/>
      <c r="Z77" s="2"/>
    </row>
    <row r="78" spans="1:26" x14ac:dyDescent="0.35">
      <c r="Z78" s="2"/>
    </row>
    <row r="79" spans="1:26" x14ac:dyDescent="0.35">
      <c r="Z79" s="2"/>
    </row>
    <row r="80" spans="1:26" x14ac:dyDescent="0.35">
      <c r="A80" s="16" t="s">
        <v>19</v>
      </c>
      <c r="B80" s="16" t="s">
        <v>18</v>
      </c>
      <c r="C80" s="16" t="s">
        <v>17</v>
      </c>
      <c r="D80" s="16" t="s">
        <v>16</v>
      </c>
      <c r="E80" s="16" t="s">
        <v>15</v>
      </c>
      <c r="F80" s="16" t="s">
        <v>14</v>
      </c>
      <c r="G80" s="17"/>
      <c r="H80" s="17"/>
      <c r="I80" s="17">
        <v>45682</v>
      </c>
      <c r="J80" s="17">
        <v>45689</v>
      </c>
      <c r="K80" s="17">
        <v>45717</v>
      </c>
      <c r="L80" s="17">
        <v>45772</v>
      </c>
      <c r="M80" s="17">
        <v>45778</v>
      </c>
      <c r="N80" s="17">
        <v>45809</v>
      </c>
      <c r="O80" s="17">
        <v>45839</v>
      </c>
      <c r="P80" s="17">
        <v>45870</v>
      </c>
      <c r="Q80" s="17">
        <v>45901</v>
      </c>
      <c r="R80" s="17">
        <v>45931</v>
      </c>
      <c r="S80" s="17">
        <v>45962</v>
      </c>
      <c r="T80" s="17">
        <v>45992</v>
      </c>
      <c r="U80" s="17">
        <v>46023</v>
      </c>
      <c r="V80" s="17">
        <v>46054</v>
      </c>
      <c r="W80" s="17">
        <v>46082</v>
      </c>
      <c r="X80" s="17">
        <v>46137</v>
      </c>
      <c r="Y80" s="16" t="s">
        <v>13</v>
      </c>
      <c r="Z80" s="2"/>
    </row>
    <row r="81" spans="1:26" x14ac:dyDescent="0.35">
      <c r="A81" s="15">
        <v>7</v>
      </c>
      <c r="B81" s="15" t="s">
        <v>26</v>
      </c>
      <c r="C81" s="15" t="s">
        <v>11</v>
      </c>
      <c r="D81" s="15">
        <v>1000000</v>
      </c>
      <c r="E81" s="14" t="s">
        <v>10</v>
      </c>
      <c r="F81" s="3">
        <v>50000</v>
      </c>
      <c r="G81" s="7"/>
      <c r="H81" s="7"/>
      <c r="I81" s="7"/>
      <c r="J81" s="3">
        <v>0</v>
      </c>
      <c r="K81" s="3">
        <v>0</v>
      </c>
      <c r="L81" s="3">
        <v>0</v>
      </c>
      <c r="M81" s="3">
        <v>0</v>
      </c>
      <c r="N81" s="23">
        <v>5555</v>
      </c>
      <c r="O81" s="3">
        <v>5556</v>
      </c>
      <c r="P81" s="3">
        <v>5556</v>
      </c>
      <c r="Q81" s="3">
        <v>5555.5</v>
      </c>
      <c r="R81" s="3">
        <v>5555.5</v>
      </c>
      <c r="S81" s="3">
        <v>5555.5</v>
      </c>
      <c r="T81" s="3">
        <v>5555.5</v>
      </c>
      <c r="U81" s="3">
        <v>5555.5</v>
      </c>
      <c r="V81" s="3">
        <v>5555.5</v>
      </c>
      <c r="W81" s="7"/>
      <c r="X81" s="7"/>
      <c r="Y81" s="3">
        <v>500000</v>
      </c>
      <c r="Z81" s="2"/>
    </row>
    <row r="82" spans="1:26" x14ac:dyDescent="0.35">
      <c r="A82" s="8"/>
      <c r="B82" s="8"/>
      <c r="C82" s="8"/>
      <c r="D82" s="8"/>
      <c r="E82" s="14" t="s">
        <v>9</v>
      </c>
      <c r="F82" s="3">
        <v>50000</v>
      </c>
      <c r="G82" s="7"/>
      <c r="H82" s="7"/>
      <c r="I82" s="7"/>
      <c r="J82" s="3">
        <v>0</v>
      </c>
      <c r="K82" s="3">
        <v>0</v>
      </c>
      <c r="L82" s="3">
        <v>0</v>
      </c>
      <c r="M82" s="3">
        <v>0</v>
      </c>
      <c r="N82" s="3">
        <v>3850</v>
      </c>
      <c r="O82" s="3">
        <v>11200.25</v>
      </c>
      <c r="P82" s="3">
        <v>7040</v>
      </c>
      <c r="Q82" s="3">
        <v>4651.625</v>
      </c>
      <c r="R82" s="3">
        <v>4651.625</v>
      </c>
      <c r="S82" s="3">
        <v>4651.625</v>
      </c>
      <c r="T82" s="3">
        <v>4651.625</v>
      </c>
      <c r="U82" s="3">
        <v>4651.625</v>
      </c>
      <c r="V82" s="3">
        <v>4651.625</v>
      </c>
      <c r="W82" s="7"/>
      <c r="X82" s="7"/>
      <c r="Y82" s="3">
        <v>50000</v>
      </c>
      <c r="Z82" s="2"/>
    </row>
    <row r="83" spans="1:26" x14ac:dyDescent="0.35">
      <c r="A83" s="8"/>
      <c r="B83" s="8"/>
      <c r="C83" s="8"/>
      <c r="D83" s="8"/>
      <c r="E83" s="14" t="s">
        <v>8</v>
      </c>
      <c r="F83" s="3">
        <v>50000</v>
      </c>
      <c r="G83" s="7"/>
      <c r="H83" s="7"/>
      <c r="I83" s="7"/>
      <c r="J83" s="3">
        <v>0</v>
      </c>
      <c r="K83" s="3">
        <v>0</v>
      </c>
      <c r="L83" s="3">
        <v>0</v>
      </c>
      <c r="M83" s="3">
        <v>0</v>
      </c>
      <c r="N83" s="3">
        <v>50000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7"/>
      <c r="X83" s="7"/>
      <c r="Y83" s="3">
        <v>50000</v>
      </c>
      <c r="Z83" s="2"/>
    </row>
    <row r="84" spans="1:26" x14ac:dyDescent="0.35">
      <c r="A84" s="8"/>
      <c r="B84" s="8"/>
      <c r="C84" s="8"/>
      <c r="D84" s="8"/>
      <c r="E84" s="13" t="s">
        <v>21</v>
      </c>
      <c r="F84" s="11">
        <v>150000</v>
      </c>
      <c r="G84" s="12"/>
      <c r="H84" s="12"/>
      <c r="I84" s="12"/>
      <c r="J84" s="11">
        <v>0</v>
      </c>
      <c r="K84" s="11">
        <v>0</v>
      </c>
      <c r="L84" s="11">
        <v>0</v>
      </c>
      <c r="M84" s="11">
        <v>0</v>
      </c>
      <c r="N84" s="11">
        <v>59405</v>
      </c>
      <c r="O84" s="11">
        <v>16756.25</v>
      </c>
      <c r="P84" s="11">
        <v>6956</v>
      </c>
      <c r="Q84" s="11">
        <v>11195.5</v>
      </c>
      <c r="R84" s="11">
        <v>11137.45</v>
      </c>
      <c r="S84" s="11">
        <v>11137.45</v>
      </c>
      <c r="T84" s="11">
        <v>11137.45</v>
      </c>
      <c r="U84" s="11">
        <v>11137.45</v>
      </c>
      <c r="V84" s="11">
        <v>11137.45</v>
      </c>
      <c r="W84" s="12"/>
      <c r="X84" s="7"/>
      <c r="Y84" s="3">
        <v>150000</v>
      </c>
      <c r="Z84" s="2"/>
    </row>
    <row r="85" spans="1:26" x14ac:dyDescent="0.35">
      <c r="A85" s="8"/>
      <c r="B85" s="8"/>
      <c r="C85" s="8"/>
      <c r="D85" s="8"/>
      <c r="E85" s="9" t="s">
        <v>20</v>
      </c>
      <c r="F85" s="3">
        <v>850000</v>
      </c>
      <c r="G85" s="7"/>
      <c r="H85" s="7"/>
      <c r="I85" s="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7"/>
      <c r="X85" s="7"/>
      <c r="Y85" s="3"/>
      <c r="Z85" s="2"/>
    </row>
    <row r="86" spans="1:26" x14ac:dyDescent="0.35">
      <c r="A86" s="8"/>
      <c r="B86" s="8"/>
      <c r="C86" s="8"/>
      <c r="D86" s="8"/>
      <c r="E86" s="3" t="s">
        <v>5</v>
      </c>
      <c r="F86" s="3">
        <v>241248</v>
      </c>
      <c r="G86" s="7"/>
      <c r="H86" s="7"/>
      <c r="I86" s="7"/>
      <c r="J86" s="3"/>
      <c r="K86" s="3"/>
      <c r="L86" s="3"/>
      <c r="M86" s="3">
        <v>30156</v>
      </c>
      <c r="N86" s="3">
        <v>0</v>
      </c>
      <c r="O86" s="3">
        <v>26273</v>
      </c>
      <c r="P86" s="3">
        <v>30156</v>
      </c>
      <c r="Q86" s="3">
        <v>25777</v>
      </c>
      <c r="R86" s="3">
        <v>25777</v>
      </c>
      <c r="S86" s="3">
        <v>25777</v>
      </c>
      <c r="T86" s="3">
        <v>25777</v>
      </c>
      <c r="U86" s="3">
        <v>25777</v>
      </c>
      <c r="V86" s="3">
        <v>25778</v>
      </c>
      <c r="W86" s="7"/>
      <c r="X86" s="7"/>
      <c r="Y86" s="3">
        <v>241248</v>
      </c>
      <c r="Z86" s="2"/>
    </row>
    <row r="87" spans="1:26" x14ac:dyDescent="0.35">
      <c r="A87" s="8"/>
      <c r="B87" s="8"/>
      <c r="C87" s="8"/>
      <c r="D87" s="8"/>
      <c r="E87" s="9" t="s">
        <v>4</v>
      </c>
      <c r="F87" s="3">
        <f>200000-F86/2-F81/3-F82/3</f>
        <v>46042.666666666657</v>
      </c>
      <c r="G87" s="7"/>
      <c r="H87" s="7"/>
      <c r="I87" s="7"/>
      <c r="J87" s="3">
        <v>0</v>
      </c>
      <c r="K87" s="3">
        <v>0</v>
      </c>
      <c r="L87" s="3">
        <v>0</v>
      </c>
      <c r="M87" s="3">
        <v>0</v>
      </c>
      <c r="N87" s="3">
        <v>3850</v>
      </c>
      <c r="O87" s="3">
        <v>0</v>
      </c>
      <c r="P87" s="3">
        <v>0</v>
      </c>
      <c r="Q87" s="3">
        <v>0</v>
      </c>
      <c r="R87" s="3">
        <v>42192.667000000001</v>
      </c>
      <c r="S87" s="3"/>
      <c r="T87" s="3"/>
      <c r="U87" s="3"/>
      <c r="V87" s="3"/>
      <c r="W87" s="7"/>
      <c r="X87" s="7"/>
      <c r="Y87" s="3">
        <v>46042.667000000001</v>
      </c>
      <c r="Z87" s="2"/>
    </row>
    <row r="88" spans="1:26" x14ac:dyDescent="0.35">
      <c r="A88" s="8"/>
      <c r="B88" s="8"/>
      <c r="C88" s="8"/>
      <c r="D88" s="8"/>
      <c r="E88" s="3" t="s">
        <v>3</v>
      </c>
      <c r="F88" s="3">
        <f>710000-F86/2-F81/3-F82/3</f>
        <v>556042.66666666674</v>
      </c>
      <c r="G88" s="7"/>
      <c r="H88" s="7"/>
      <c r="I88" s="7"/>
      <c r="J88" s="3"/>
      <c r="K88" s="3"/>
      <c r="L88" s="3"/>
      <c r="M88" s="3"/>
      <c r="N88" s="3"/>
      <c r="O88" s="3"/>
      <c r="P88" s="3">
        <v>23489.8</v>
      </c>
      <c r="Q88" s="3">
        <v>0</v>
      </c>
      <c r="R88" s="3">
        <v>266276.43</v>
      </c>
      <c r="S88" s="3">
        <v>266276.44</v>
      </c>
      <c r="T88" s="3"/>
      <c r="U88" s="3"/>
      <c r="V88" s="3"/>
      <c r="W88" s="7"/>
      <c r="X88" s="7"/>
      <c r="Y88" s="3">
        <v>556042.66700000002</v>
      </c>
      <c r="Z88" s="2"/>
    </row>
    <row r="89" spans="1:26" x14ac:dyDescent="0.35">
      <c r="A89" s="8"/>
      <c r="B89" s="8"/>
      <c r="C89" s="8"/>
      <c r="D89" s="8"/>
      <c r="E89" s="3" t="s">
        <v>2</v>
      </c>
      <c r="F89" s="3">
        <f>90000-F83-F81/3-F82/3</f>
        <v>6666.6666666666642</v>
      </c>
      <c r="G89" s="7"/>
      <c r="H89" s="7"/>
      <c r="I89" s="7"/>
      <c r="J89" s="3"/>
      <c r="K89" s="3"/>
      <c r="L89" s="3"/>
      <c r="M89" s="3"/>
      <c r="N89" s="3"/>
      <c r="O89" s="3"/>
      <c r="P89" s="23"/>
      <c r="Q89" s="23"/>
      <c r="R89" s="23"/>
      <c r="S89" s="23">
        <v>1666.665</v>
      </c>
      <c r="T89" s="23">
        <v>1666.665</v>
      </c>
      <c r="U89" s="23">
        <v>1666.665</v>
      </c>
      <c r="V89" s="23">
        <v>1666.665</v>
      </c>
      <c r="W89" s="7"/>
      <c r="X89" s="7"/>
      <c r="Y89" s="3">
        <v>6666.6670000000004</v>
      </c>
      <c r="Z89" s="2"/>
    </row>
    <row r="90" spans="1:26" x14ac:dyDescent="0.35">
      <c r="A90" s="6"/>
      <c r="B90" s="6"/>
      <c r="C90" s="6"/>
      <c r="D90" s="6"/>
      <c r="E90" s="4" t="s">
        <v>1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3"/>
      <c r="Y90" s="3"/>
      <c r="Z90" s="2"/>
    </row>
    <row r="91" spans="1:26" x14ac:dyDescent="0.35">
      <c r="Z91" s="2"/>
    </row>
    <row r="92" spans="1:26" x14ac:dyDescent="0.35">
      <c r="Z92" s="2"/>
    </row>
    <row r="93" spans="1:26" x14ac:dyDescent="0.35">
      <c r="A93" s="24" t="s">
        <v>19</v>
      </c>
      <c r="B93" s="16" t="s">
        <v>18</v>
      </c>
      <c r="C93" s="16" t="s">
        <v>17</v>
      </c>
      <c r="D93" s="16" t="s">
        <v>16</v>
      </c>
      <c r="E93" s="16" t="s">
        <v>15</v>
      </c>
      <c r="F93" s="16" t="s">
        <v>14</v>
      </c>
      <c r="G93" s="17"/>
      <c r="H93" s="17"/>
      <c r="I93" s="17">
        <v>45682</v>
      </c>
      <c r="J93" s="17">
        <v>45689</v>
      </c>
      <c r="K93" s="17">
        <v>45717</v>
      </c>
      <c r="L93" s="17">
        <v>45772</v>
      </c>
      <c r="M93" s="17">
        <v>45778</v>
      </c>
      <c r="N93" s="17">
        <v>45809</v>
      </c>
      <c r="O93" s="17">
        <v>45839</v>
      </c>
      <c r="P93" s="17">
        <v>45870</v>
      </c>
      <c r="Q93" s="17">
        <v>45901</v>
      </c>
      <c r="R93" s="17">
        <v>45931</v>
      </c>
      <c r="S93" s="17">
        <v>45962</v>
      </c>
      <c r="T93" s="17">
        <v>45992</v>
      </c>
      <c r="U93" s="17">
        <v>46023</v>
      </c>
      <c r="V93" s="17">
        <v>46054</v>
      </c>
      <c r="W93" s="17">
        <v>46082</v>
      </c>
      <c r="X93" s="17">
        <v>46137</v>
      </c>
      <c r="Y93" s="16" t="s">
        <v>13</v>
      </c>
      <c r="Z93" s="2"/>
    </row>
    <row r="94" spans="1:26" x14ac:dyDescent="0.35">
      <c r="A94" s="15">
        <v>8</v>
      </c>
      <c r="B94" s="21" t="s">
        <v>25</v>
      </c>
      <c r="C94" s="15" t="s">
        <v>11</v>
      </c>
      <c r="D94" s="15">
        <v>1500000</v>
      </c>
      <c r="E94" s="14" t="s">
        <v>10</v>
      </c>
      <c r="F94" s="3">
        <v>75000</v>
      </c>
      <c r="G94" s="7"/>
      <c r="H94" s="7"/>
      <c r="I94" s="7"/>
      <c r="J94" s="3">
        <v>0</v>
      </c>
      <c r="K94" s="3">
        <v>0</v>
      </c>
      <c r="L94" s="3">
        <v>33862</v>
      </c>
      <c r="M94" s="3">
        <v>0</v>
      </c>
      <c r="N94" s="3">
        <v>5876</v>
      </c>
      <c r="O94" s="3">
        <v>5877</v>
      </c>
      <c r="P94" s="23">
        <v>0</v>
      </c>
      <c r="Q94" s="3">
        <v>7346.25</v>
      </c>
      <c r="R94" s="3">
        <v>7346.25</v>
      </c>
      <c r="S94" s="3">
        <v>7346.25</v>
      </c>
      <c r="T94" s="3">
        <v>7346.25</v>
      </c>
      <c r="U94" s="7"/>
      <c r="V94" s="7"/>
      <c r="W94" s="7"/>
      <c r="X94" s="7"/>
      <c r="Y94" s="3">
        <v>75000</v>
      </c>
      <c r="Z94" s="2"/>
    </row>
    <row r="95" spans="1:26" x14ac:dyDescent="0.35">
      <c r="A95" s="8"/>
      <c r="B95" s="8"/>
      <c r="C95" s="8"/>
      <c r="D95" s="8"/>
      <c r="E95" s="14" t="s">
        <v>9</v>
      </c>
      <c r="F95" s="3">
        <v>75000</v>
      </c>
      <c r="G95" s="7"/>
      <c r="H95" s="7"/>
      <c r="I95" s="7"/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35833</v>
      </c>
      <c r="Q95" s="3">
        <v>9791.75</v>
      </c>
      <c r="R95" s="3">
        <v>9791.75</v>
      </c>
      <c r="S95" s="3">
        <v>9791.75</v>
      </c>
      <c r="T95" s="3">
        <v>9791.75</v>
      </c>
      <c r="U95" s="7"/>
      <c r="V95" s="7"/>
      <c r="W95" s="7"/>
      <c r="X95" s="7"/>
      <c r="Y95" s="3">
        <v>75000</v>
      </c>
      <c r="Z95" s="2"/>
    </row>
    <row r="96" spans="1:26" x14ac:dyDescent="0.35">
      <c r="A96" s="8"/>
      <c r="B96" s="8"/>
      <c r="C96" s="8"/>
      <c r="D96" s="8"/>
      <c r="E96" s="14" t="s">
        <v>8</v>
      </c>
      <c r="F96" s="3">
        <v>75000</v>
      </c>
      <c r="G96" s="7"/>
      <c r="H96" s="7"/>
      <c r="I96" s="7"/>
      <c r="J96" s="3">
        <v>0</v>
      </c>
      <c r="K96" s="3">
        <v>0</v>
      </c>
      <c r="L96" s="3">
        <v>0</v>
      </c>
      <c r="M96" s="3">
        <v>0</v>
      </c>
      <c r="N96" s="3">
        <v>30000</v>
      </c>
      <c r="O96" s="3">
        <v>0</v>
      </c>
      <c r="P96" s="3">
        <v>0</v>
      </c>
      <c r="Q96" s="3">
        <v>0</v>
      </c>
      <c r="R96" s="3">
        <v>15000</v>
      </c>
      <c r="S96" s="3">
        <v>15000</v>
      </c>
      <c r="T96" s="3">
        <v>15000</v>
      </c>
      <c r="U96" s="7"/>
      <c r="V96" s="7"/>
      <c r="W96" s="7"/>
      <c r="X96" s="7"/>
      <c r="Y96" s="3">
        <v>75000</v>
      </c>
      <c r="Z96" s="2"/>
    </row>
    <row r="97" spans="1:29" x14ac:dyDescent="0.35">
      <c r="A97" s="8"/>
      <c r="B97" s="8"/>
      <c r="C97" s="8"/>
      <c r="D97" s="8"/>
      <c r="E97" s="13" t="s">
        <v>21</v>
      </c>
      <c r="F97" s="11">
        <v>225000</v>
      </c>
      <c r="G97" s="12"/>
      <c r="H97" s="12"/>
      <c r="I97" s="12"/>
      <c r="J97" s="11">
        <v>0</v>
      </c>
      <c r="K97" s="11">
        <v>0</v>
      </c>
      <c r="L97" s="11">
        <v>33862</v>
      </c>
      <c r="M97" s="11">
        <v>0</v>
      </c>
      <c r="N97" s="11">
        <v>35876</v>
      </c>
      <c r="O97" s="11">
        <v>5877</v>
      </c>
      <c r="P97" s="11">
        <v>35833</v>
      </c>
      <c r="Q97" s="11">
        <v>17138</v>
      </c>
      <c r="R97" s="11">
        <v>32138</v>
      </c>
      <c r="S97" s="11">
        <v>32138</v>
      </c>
      <c r="T97" s="11">
        <v>32138</v>
      </c>
      <c r="U97" s="12"/>
      <c r="V97" s="12"/>
      <c r="W97" s="12"/>
      <c r="X97" s="7"/>
      <c r="Y97" s="3">
        <v>225000</v>
      </c>
      <c r="Z97" s="2"/>
    </row>
    <row r="98" spans="1:29" x14ac:dyDescent="0.35">
      <c r="A98" s="8"/>
      <c r="B98" s="8"/>
      <c r="C98" s="8"/>
      <c r="D98" s="8"/>
      <c r="E98" s="9" t="s">
        <v>20</v>
      </c>
      <c r="F98" s="3">
        <v>1275000</v>
      </c>
      <c r="G98" s="7"/>
      <c r="H98" s="7"/>
      <c r="I98" s="7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7"/>
      <c r="V98" s="7"/>
      <c r="W98" s="7"/>
      <c r="X98" s="7"/>
      <c r="Y98" s="3"/>
      <c r="Z98" s="2"/>
    </row>
    <row r="99" spans="1:29" x14ac:dyDescent="0.35">
      <c r="A99" s="8"/>
      <c r="B99" s="8"/>
      <c r="C99" s="8"/>
      <c r="D99" s="8"/>
      <c r="E99" s="3" t="s">
        <v>5</v>
      </c>
      <c r="F99" s="3">
        <v>0</v>
      </c>
      <c r="G99" s="7"/>
      <c r="H99" s="7"/>
      <c r="I99" s="7"/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19">
        <v>33862</v>
      </c>
      <c r="Q99" s="3">
        <v>0</v>
      </c>
      <c r="R99" s="3">
        <v>0</v>
      </c>
      <c r="S99" s="3">
        <v>0</v>
      </c>
      <c r="T99" s="3">
        <v>0</v>
      </c>
      <c r="U99" s="7"/>
      <c r="V99" s="7"/>
      <c r="W99" s="7"/>
      <c r="X99" s="7"/>
      <c r="Y99" s="3"/>
      <c r="Z99" s="2"/>
    </row>
    <row r="100" spans="1:29" x14ac:dyDescent="0.35">
      <c r="A100" s="8"/>
      <c r="B100" s="8"/>
      <c r="C100" s="8"/>
      <c r="D100" s="8"/>
      <c r="E100" s="9" t="s">
        <v>4</v>
      </c>
      <c r="F100" s="3">
        <v>382500</v>
      </c>
      <c r="G100" s="7"/>
      <c r="H100" s="7"/>
      <c r="I100" s="7"/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8439.7999999999993</v>
      </c>
      <c r="Q100" s="3">
        <v>0</v>
      </c>
      <c r="R100" s="3">
        <v>374060.2</v>
      </c>
      <c r="S100" s="3"/>
      <c r="T100" s="3"/>
      <c r="U100" s="7"/>
      <c r="V100" s="7"/>
      <c r="W100" s="7"/>
      <c r="X100" s="7"/>
      <c r="Y100" s="3">
        <v>382500</v>
      </c>
      <c r="Z100" s="2"/>
    </row>
    <row r="101" spans="1:29" x14ac:dyDescent="0.35">
      <c r="A101" s="8"/>
      <c r="B101" s="8"/>
      <c r="C101" s="8"/>
      <c r="D101" s="8"/>
      <c r="E101" s="3" t="s">
        <v>3</v>
      </c>
      <c r="F101" s="3">
        <v>765000</v>
      </c>
      <c r="G101" s="7"/>
      <c r="H101" s="7"/>
      <c r="I101" s="7"/>
      <c r="J101" s="3"/>
      <c r="K101" s="3"/>
      <c r="L101" s="3"/>
      <c r="M101" s="3"/>
      <c r="N101" s="3"/>
      <c r="O101" s="3"/>
      <c r="P101" s="3"/>
      <c r="Q101" s="3">
        <v>0</v>
      </c>
      <c r="R101" s="3">
        <v>382500</v>
      </c>
      <c r="S101" s="3">
        <v>382500</v>
      </c>
      <c r="T101" s="3"/>
      <c r="U101" s="7"/>
      <c r="V101" s="7"/>
      <c r="W101" s="7"/>
      <c r="X101" s="7"/>
      <c r="Y101" s="3">
        <v>765000</v>
      </c>
      <c r="Z101" s="2"/>
    </row>
    <row r="102" spans="1:29" x14ac:dyDescent="0.35">
      <c r="A102" s="8"/>
      <c r="B102" s="8"/>
      <c r="C102" s="8"/>
      <c r="D102" s="8"/>
      <c r="E102" s="3" t="s">
        <v>2</v>
      </c>
      <c r="F102" s="3">
        <v>127500</v>
      </c>
      <c r="G102" s="7"/>
      <c r="H102" s="7"/>
      <c r="I102" s="7"/>
      <c r="J102" s="3"/>
      <c r="K102" s="3"/>
      <c r="L102" s="3"/>
      <c r="M102" s="3"/>
      <c r="N102" s="3"/>
      <c r="O102" s="3"/>
      <c r="P102" s="3">
        <v>15050</v>
      </c>
      <c r="Q102" s="3"/>
      <c r="R102" s="3"/>
      <c r="S102" s="3">
        <v>56225</v>
      </c>
      <c r="T102" s="3">
        <v>56225</v>
      </c>
      <c r="U102" s="3"/>
      <c r="V102" s="3"/>
      <c r="W102" s="3"/>
      <c r="X102" s="3"/>
      <c r="Y102" s="3">
        <v>127500</v>
      </c>
      <c r="Z102" s="2"/>
    </row>
    <row r="103" spans="1:29" x14ac:dyDescent="0.35">
      <c r="A103" s="6"/>
      <c r="B103" s="6"/>
      <c r="C103" s="6"/>
      <c r="D103" s="6"/>
      <c r="E103" s="4" t="s">
        <v>1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3"/>
      <c r="Y103" s="3"/>
      <c r="Z103" s="2"/>
    </row>
    <row r="106" spans="1:29" x14ac:dyDescent="0.35">
      <c r="A106" s="16" t="s">
        <v>19</v>
      </c>
      <c r="B106" s="16" t="s">
        <v>18</v>
      </c>
      <c r="C106" s="16" t="s">
        <v>17</v>
      </c>
      <c r="D106" s="16" t="s">
        <v>16</v>
      </c>
      <c r="E106" s="16" t="s">
        <v>15</v>
      </c>
      <c r="F106" s="16" t="s">
        <v>14</v>
      </c>
      <c r="G106" s="17"/>
      <c r="H106" s="17"/>
      <c r="I106" s="17">
        <v>45682</v>
      </c>
      <c r="J106" s="17">
        <v>45689</v>
      </c>
      <c r="K106" s="17">
        <v>45717</v>
      </c>
      <c r="L106" s="17">
        <v>45772</v>
      </c>
      <c r="M106" s="17">
        <v>45778</v>
      </c>
      <c r="N106" s="17">
        <v>45809</v>
      </c>
      <c r="O106" s="17">
        <v>45839</v>
      </c>
      <c r="P106" s="17">
        <v>45870</v>
      </c>
      <c r="Q106" s="17">
        <v>45901</v>
      </c>
      <c r="R106" s="17">
        <v>45931</v>
      </c>
      <c r="S106" s="17">
        <v>45962</v>
      </c>
      <c r="T106" s="17">
        <v>45992</v>
      </c>
      <c r="U106" s="17">
        <v>46023</v>
      </c>
      <c r="V106" s="17">
        <v>46054</v>
      </c>
      <c r="W106" s="17">
        <v>46082</v>
      </c>
      <c r="X106" s="17">
        <v>46137</v>
      </c>
      <c r="Y106" s="22">
        <v>45803</v>
      </c>
      <c r="Z106" s="17">
        <v>45809</v>
      </c>
      <c r="AA106" s="17">
        <v>45839</v>
      </c>
      <c r="AB106" s="16" t="s">
        <v>13</v>
      </c>
      <c r="AC106" s="18" t="s">
        <v>23</v>
      </c>
    </row>
    <row r="107" spans="1:29" x14ac:dyDescent="0.35">
      <c r="A107" s="15">
        <v>9</v>
      </c>
      <c r="B107" s="21" t="s">
        <v>24</v>
      </c>
      <c r="C107" s="15" t="s">
        <v>11</v>
      </c>
      <c r="D107" s="15">
        <v>3000000</v>
      </c>
      <c r="E107" s="14" t="s">
        <v>10</v>
      </c>
      <c r="F107" s="3">
        <v>150000</v>
      </c>
      <c r="G107" s="7"/>
      <c r="H107" s="7"/>
      <c r="I107" s="7"/>
      <c r="J107" s="3">
        <v>0</v>
      </c>
      <c r="K107" s="3">
        <v>0</v>
      </c>
      <c r="L107" s="3">
        <v>0</v>
      </c>
      <c r="M107" s="3">
        <v>0</v>
      </c>
      <c r="N107" s="3">
        <v>10714</v>
      </c>
      <c r="O107" s="3">
        <v>10714</v>
      </c>
      <c r="P107" s="3">
        <v>10714</v>
      </c>
      <c r="Q107" s="3">
        <v>10714</v>
      </c>
      <c r="R107" s="3">
        <v>10714</v>
      </c>
      <c r="S107" s="3">
        <v>10714</v>
      </c>
      <c r="T107" s="3">
        <v>10714</v>
      </c>
      <c r="U107" s="3">
        <v>10714</v>
      </c>
      <c r="V107" s="3">
        <v>10714</v>
      </c>
      <c r="W107" s="3">
        <v>10714</v>
      </c>
      <c r="X107" s="3">
        <v>10715</v>
      </c>
      <c r="Y107" s="3">
        <v>10715</v>
      </c>
      <c r="Z107" s="3">
        <v>10715</v>
      </c>
      <c r="AA107" s="3">
        <v>10715</v>
      </c>
      <c r="AB107" s="20">
        <v>150000</v>
      </c>
      <c r="AC107" s="2"/>
    </row>
    <row r="108" spans="1:29" x14ac:dyDescent="0.35">
      <c r="A108" s="8"/>
      <c r="B108" s="8"/>
      <c r="C108" s="8"/>
      <c r="D108" s="8"/>
      <c r="E108" s="14" t="s">
        <v>9</v>
      </c>
      <c r="F108" s="3">
        <v>150000</v>
      </c>
      <c r="G108" s="7"/>
      <c r="H108" s="7"/>
      <c r="I108" s="7"/>
      <c r="J108" s="3">
        <v>0</v>
      </c>
      <c r="K108" s="3">
        <v>0</v>
      </c>
      <c r="L108" s="3">
        <v>0</v>
      </c>
      <c r="M108" s="3">
        <v>0</v>
      </c>
      <c r="N108" s="3">
        <v>12000</v>
      </c>
      <c r="O108" s="3">
        <v>0</v>
      </c>
      <c r="P108" s="3">
        <v>40321</v>
      </c>
      <c r="Q108" s="3">
        <v>8879</v>
      </c>
      <c r="R108" s="3">
        <v>8880</v>
      </c>
      <c r="S108" s="3">
        <v>8880</v>
      </c>
      <c r="T108" s="3">
        <v>8880</v>
      </c>
      <c r="U108" s="3">
        <v>8880</v>
      </c>
      <c r="V108" s="3">
        <v>8880</v>
      </c>
      <c r="W108" s="3">
        <v>8880</v>
      </c>
      <c r="X108" s="3">
        <v>8880</v>
      </c>
      <c r="Y108" s="3">
        <v>8880</v>
      </c>
      <c r="Z108" s="3">
        <v>8880</v>
      </c>
      <c r="AA108" s="3">
        <v>8880</v>
      </c>
      <c r="AB108" s="20">
        <v>150000</v>
      </c>
      <c r="AC108" s="2"/>
    </row>
    <row r="109" spans="1:29" x14ac:dyDescent="0.35">
      <c r="A109" s="8"/>
      <c r="B109" s="8"/>
      <c r="C109" s="8"/>
      <c r="D109" s="8"/>
      <c r="E109" s="14" t="s">
        <v>8</v>
      </c>
      <c r="F109" s="3">
        <v>150000</v>
      </c>
      <c r="G109" s="7"/>
      <c r="H109" s="7"/>
      <c r="I109" s="7"/>
      <c r="J109" s="3">
        <v>0</v>
      </c>
      <c r="K109" s="3">
        <v>0</v>
      </c>
      <c r="L109" s="3">
        <v>0</v>
      </c>
      <c r="M109" s="3">
        <v>0</v>
      </c>
      <c r="N109" s="3">
        <v>60000</v>
      </c>
      <c r="O109" s="3">
        <v>0</v>
      </c>
      <c r="P109" s="3">
        <v>0</v>
      </c>
      <c r="Q109" s="3">
        <v>0</v>
      </c>
      <c r="R109" s="3">
        <v>9000</v>
      </c>
      <c r="S109" s="3">
        <v>9000</v>
      </c>
      <c r="T109" s="3">
        <v>9000</v>
      </c>
      <c r="U109" s="3">
        <v>9000</v>
      </c>
      <c r="V109" s="3">
        <v>9000</v>
      </c>
      <c r="W109" s="3">
        <v>9000</v>
      </c>
      <c r="X109" s="3">
        <v>9000</v>
      </c>
      <c r="Y109" s="3">
        <v>9000</v>
      </c>
      <c r="Z109" s="3">
        <v>9000</v>
      </c>
      <c r="AA109" s="3">
        <v>9000</v>
      </c>
      <c r="AB109" s="20">
        <v>150000</v>
      </c>
      <c r="AC109" s="2"/>
    </row>
    <row r="110" spans="1:29" x14ac:dyDescent="0.35">
      <c r="A110" s="8"/>
      <c r="B110" s="8"/>
      <c r="C110" s="8"/>
      <c r="D110" s="8"/>
      <c r="E110" s="13" t="s">
        <v>21</v>
      </c>
      <c r="F110" s="11">
        <v>450000</v>
      </c>
      <c r="G110" s="12"/>
      <c r="H110" s="12"/>
      <c r="I110" s="12"/>
      <c r="J110" s="11">
        <v>0</v>
      </c>
      <c r="K110" s="11">
        <v>0</v>
      </c>
      <c r="L110" s="11">
        <v>0</v>
      </c>
      <c r="M110" s="11">
        <v>0</v>
      </c>
      <c r="N110" s="11">
        <v>82714</v>
      </c>
      <c r="O110" s="11">
        <v>10714</v>
      </c>
      <c r="P110" s="11">
        <v>51035</v>
      </c>
      <c r="Q110" s="11">
        <v>19593</v>
      </c>
      <c r="R110" s="11">
        <v>28594</v>
      </c>
      <c r="S110" s="11">
        <v>28594</v>
      </c>
      <c r="T110" s="11">
        <v>28594</v>
      </c>
      <c r="U110" s="11">
        <v>28594</v>
      </c>
      <c r="V110" s="11">
        <v>28594</v>
      </c>
      <c r="W110" s="11">
        <v>28594</v>
      </c>
      <c r="X110" s="11">
        <v>28595</v>
      </c>
      <c r="Y110" s="11">
        <v>28595</v>
      </c>
      <c r="Z110" s="11">
        <v>28595</v>
      </c>
      <c r="AA110" s="11">
        <v>28595</v>
      </c>
      <c r="AB110" s="20">
        <v>450000</v>
      </c>
      <c r="AC110" s="2"/>
    </row>
    <row r="111" spans="1:29" x14ac:dyDescent="0.35">
      <c r="A111" s="8"/>
      <c r="B111" s="8"/>
      <c r="C111" s="8"/>
      <c r="D111" s="8"/>
      <c r="E111" s="9" t="s">
        <v>20</v>
      </c>
      <c r="F111" s="3">
        <v>2550000</v>
      </c>
      <c r="G111" s="7"/>
      <c r="H111" s="7"/>
      <c r="I111" s="7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2"/>
      <c r="AA111" s="2"/>
      <c r="AB111" s="2"/>
      <c r="AC111" s="2"/>
    </row>
    <row r="112" spans="1:29" x14ac:dyDescent="0.35">
      <c r="A112" s="8"/>
      <c r="B112" s="8"/>
      <c r="C112" s="8"/>
      <c r="D112" s="8"/>
      <c r="E112" s="3" t="s">
        <v>5</v>
      </c>
      <c r="F112" s="3"/>
      <c r="G112" s="7"/>
      <c r="H112" s="7"/>
      <c r="I112" s="7"/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19">
        <v>30490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/>
      <c r="X112" s="3"/>
      <c r="Y112" s="3"/>
      <c r="Z112" s="2"/>
      <c r="AA112" s="2"/>
      <c r="AB112" s="2"/>
      <c r="AC112" s="2"/>
    </row>
    <row r="113" spans="1:29" x14ac:dyDescent="0.35">
      <c r="A113" s="8"/>
      <c r="B113" s="8"/>
      <c r="C113" s="8"/>
      <c r="D113" s="8"/>
      <c r="E113" s="9" t="s">
        <v>4</v>
      </c>
      <c r="F113" s="3">
        <v>765000</v>
      </c>
      <c r="G113" s="7"/>
      <c r="H113" s="7"/>
      <c r="I113" s="7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2"/>
      <c r="AA113" s="2"/>
      <c r="AB113" s="2"/>
      <c r="AC113" s="2"/>
    </row>
    <row r="114" spans="1:29" x14ac:dyDescent="0.35">
      <c r="A114" s="8"/>
      <c r="B114" s="8"/>
      <c r="C114" s="8"/>
      <c r="D114" s="8"/>
      <c r="E114" s="3" t="s">
        <v>3</v>
      </c>
      <c r="F114" s="3">
        <v>1530000</v>
      </c>
      <c r="G114" s="7"/>
      <c r="H114" s="7"/>
      <c r="I114" s="7"/>
      <c r="J114" s="3"/>
      <c r="K114" s="3"/>
      <c r="L114" s="3"/>
      <c r="M114" s="3"/>
      <c r="N114" s="3"/>
      <c r="O114" s="3"/>
      <c r="P114" s="3">
        <v>8439.7999999999993</v>
      </c>
      <c r="Q114" s="3"/>
      <c r="R114" s="3"/>
      <c r="S114" s="3"/>
      <c r="T114" s="3"/>
      <c r="U114" s="3"/>
      <c r="V114" s="3"/>
      <c r="W114" s="3"/>
      <c r="X114" s="3"/>
      <c r="Y114" s="3"/>
      <c r="Z114" s="2"/>
      <c r="AA114" s="2"/>
      <c r="AB114" s="2"/>
      <c r="AC114" s="2"/>
    </row>
    <row r="115" spans="1:29" x14ac:dyDescent="0.35">
      <c r="A115" s="8"/>
      <c r="B115" s="8"/>
      <c r="C115" s="8"/>
      <c r="D115" s="8"/>
      <c r="E115" s="3" t="s">
        <v>2</v>
      </c>
      <c r="F115" s="3">
        <v>255000</v>
      </c>
      <c r="G115" s="7"/>
      <c r="H115" s="7"/>
      <c r="I115" s="7"/>
      <c r="J115" s="3"/>
      <c r="K115" s="3"/>
      <c r="L115" s="3"/>
      <c r="M115" s="3"/>
      <c r="N115" s="3"/>
      <c r="O115" s="3"/>
      <c r="P115" s="3">
        <v>15050</v>
      </c>
      <c r="Q115" s="3"/>
      <c r="R115" s="3"/>
      <c r="S115" s="3"/>
      <c r="T115" s="3"/>
      <c r="U115" s="3"/>
      <c r="V115" s="3"/>
      <c r="W115" s="3"/>
      <c r="X115" s="3"/>
      <c r="Y115" s="3"/>
      <c r="Z115" s="2"/>
      <c r="AA115" s="2"/>
      <c r="AB115" s="2"/>
      <c r="AC115" s="2"/>
    </row>
    <row r="116" spans="1:29" x14ac:dyDescent="0.35">
      <c r="A116" s="6"/>
      <c r="B116" s="6"/>
      <c r="C116" s="6"/>
      <c r="D116" s="6"/>
      <c r="E116" s="4" t="s">
        <v>1</v>
      </c>
      <c r="F116" s="4"/>
      <c r="G116" s="5"/>
      <c r="H116" s="5"/>
      <c r="I116" s="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3"/>
      <c r="Y116" s="3"/>
      <c r="Z116" s="2"/>
      <c r="AA116" s="2"/>
      <c r="AB116" s="2"/>
      <c r="AC116" s="2"/>
    </row>
    <row r="119" spans="1:29" x14ac:dyDescent="0.35">
      <c r="A119" s="16" t="s">
        <v>19</v>
      </c>
      <c r="B119" s="16" t="s">
        <v>18</v>
      </c>
      <c r="C119" s="16" t="s">
        <v>17</v>
      </c>
      <c r="D119" s="16" t="s">
        <v>16</v>
      </c>
      <c r="E119" s="16" t="s">
        <v>15</v>
      </c>
      <c r="F119" s="16" t="s">
        <v>14</v>
      </c>
      <c r="G119" s="17"/>
      <c r="H119" s="17"/>
      <c r="I119" s="17">
        <v>45682</v>
      </c>
      <c r="J119" s="17">
        <v>45689</v>
      </c>
      <c r="K119" s="17">
        <v>45717</v>
      </c>
      <c r="L119" s="17">
        <v>45772</v>
      </c>
      <c r="M119" s="17">
        <v>45778</v>
      </c>
      <c r="N119" s="17">
        <v>45809</v>
      </c>
      <c r="O119" s="17">
        <v>45839</v>
      </c>
      <c r="P119" s="17">
        <v>45870</v>
      </c>
      <c r="Q119" s="17">
        <v>45901</v>
      </c>
      <c r="R119" s="17">
        <v>45931</v>
      </c>
      <c r="S119" s="17">
        <v>45962</v>
      </c>
      <c r="T119" s="17">
        <v>45992</v>
      </c>
      <c r="U119" s="17">
        <v>46023</v>
      </c>
      <c r="V119" s="17">
        <v>46054</v>
      </c>
      <c r="W119" s="17">
        <v>46082</v>
      </c>
      <c r="X119" s="17">
        <v>46137</v>
      </c>
      <c r="Y119" s="16" t="s">
        <v>13</v>
      </c>
      <c r="Z119" s="18" t="s">
        <v>23</v>
      </c>
    </row>
    <row r="120" spans="1:29" x14ac:dyDescent="0.35">
      <c r="A120" s="15">
        <v>10</v>
      </c>
      <c r="B120" s="15" t="s">
        <v>22</v>
      </c>
      <c r="C120" s="15" t="s">
        <v>11</v>
      </c>
      <c r="D120" s="15">
        <v>1500000</v>
      </c>
      <c r="E120" s="14" t="s">
        <v>10</v>
      </c>
      <c r="F120" s="3">
        <v>75000</v>
      </c>
      <c r="G120" s="3"/>
      <c r="H120" s="3"/>
      <c r="I120" s="3"/>
      <c r="J120" s="3"/>
      <c r="K120" s="3"/>
      <c r="L120" s="3">
        <f>$F120/9</f>
        <v>8333.3333333333339</v>
      </c>
      <c r="M120" s="3">
        <f>$F120/9</f>
        <v>8333.3333333333339</v>
      </c>
      <c r="N120" s="3">
        <f>$F120/9</f>
        <v>8333.3333333333339</v>
      </c>
      <c r="O120" s="3">
        <f>$F120/9</f>
        <v>8333.3333333333339</v>
      </c>
      <c r="P120" s="3">
        <f>$F120/9</f>
        <v>8333.3333333333339</v>
      </c>
      <c r="Q120" s="3">
        <f>$F120/9</f>
        <v>8333.3333333333339</v>
      </c>
      <c r="R120" s="3">
        <f>$F120/9</f>
        <v>8333.3333333333339</v>
      </c>
      <c r="S120" s="3">
        <f>$F120/9</f>
        <v>8333.3333333333339</v>
      </c>
      <c r="T120" s="3">
        <f>$F120/9</f>
        <v>8333.3333333333339</v>
      </c>
      <c r="U120" s="3"/>
      <c r="V120" s="3"/>
      <c r="W120" s="3"/>
      <c r="X120" s="3"/>
      <c r="Y120" s="3"/>
      <c r="Z120" s="2"/>
    </row>
    <row r="121" spans="1:29" x14ac:dyDescent="0.35">
      <c r="A121" s="8"/>
      <c r="B121" s="8"/>
      <c r="C121" s="8"/>
      <c r="D121" s="8"/>
      <c r="E121" s="14" t="s">
        <v>9</v>
      </c>
      <c r="F121" s="3">
        <v>75000</v>
      </c>
      <c r="G121" s="3"/>
      <c r="H121" s="3"/>
      <c r="I121" s="3"/>
      <c r="J121" s="3"/>
      <c r="K121" s="3"/>
      <c r="L121" s="3">
        <f>$F121/9</f>
        <v>8333.3333333333339</v>
      </c>
      <c r="M121" s="3">
        <f>$F121/9</f>
        <v>8333.3333333333339</v>
      </c>
      <c r="N121" s="3">
        <f>$F121/9</f>
        <v>8333.3333333333339</v>
      </c>
      <c r="O121" s="3">
        <f>$F121/9</f>
        <v>8333.3333333333339</v>
      </c>
      <c r="P121" s="3">
        <f>$F121/9</f>
        <v>8333.3333333333339</v>
      </c>
      <c r="Q121" s="3">
        <f>$F121/9</f>
        <v>8333.3333333333339</v>
      </c>
      <c r="R121" s="3">
        <f>$F121/9</f>
        <v>8333.3333333333339</v>
      </c>
      <c r="S121" s="3">
        <f>$F121/9</f>
        <v>8333.3333333333339</v>
      </c>
      <c r="T121" s="3">
        <f>$F121/9</f>
        <v>8333.3333333333339</v>
      </c>
      <c r="U121" s="3"/>
      <c r="V121" s="3"/>
      <c r="W121" s="3"/>
      <c r="X121" s="3"/>
      <c r="Y121" s="3"/>
      <c r="Z121" s="2"/>
    </row>
    <row r="122" spans="1:29" x14ac:dyDescent="0.35">
      <c r="A122" s="8"/>
      <c r="B122" s="8"/>
      <c r="C122" s="8"/>
      <c r="D122" s="8"/>
      <c r="E122" s="14" t="s">
        <v>8</v>
      </c>
      <c r="F122" s="3">
        <v>75000</v>
      </c>
      <c r="G122" s="3"/>
      <c r="H122" s="3"/>
      <c r="I122" s="3"/>
      <c r="J122" s="3"/>
      <c r="K122" s="3"/>
      <c r="L122" s="3">
        <f>$F122/9</f>
        <v>8333.3333333333339</v>
      </c>
      <c r="M122" s="3">
        <f>$F122/9</f>
        <v>8333.3333333333339</v>
      </c>
      <c r="N122" s="3">
        <f>$F122/9</f>
        <v>8333.3333333333339</v>
      </c>
      <c r="O122" s="3">
        <f>$F122/9</f>
        <v>8333.3333333333339</v>
      </c>
      <c r="P122" s="3">
        <f>$F122/9</f>
        <v>8333.3333333333339</v>
      </c>
      <c r="Q122" s="3">
        <f>$F122/9</f>
        <v>8333.3333333333339</v>
      </c>
      <c r="R122" s="3">
        <f>$F122/9</f>
        <v>8333.3333333333339</v>
      </c>
      <c r="S122" s="3">
        <f>$F122/9</f>
        <v>8333.3333333333339</v>
      </c>
      <c r="T122" s="3">
        <f>$F122/9</f>
        <v>8333.3333333333339</v>
      </c>
      <c r="U122" s="3"/>
      <c r="V122" s="3"/>
      <c r="W122" s="3"/>
      <c r="X122" s="3"/>
      <c r="Y122" s="3"/>
      <c r="Z122" s="2"/>
    </row>
    <row r="123" spans="1:29" x14ac:dyDescent="0.35">
      <c r="A123" s="8"/>
      <c r="B123" s="8"/>
      <c r="C123" s="8"/>
      <c r="D123" s="8"/>
      <c r="E123" s="13" t="s">
        <v>21</v>
      </c>
      <c r="F123" s="11">
        <v>225000</v>
      </c>
      <c r="G123" s="11"/>
      <c r="H123" s="11"/>
      <c r="I123" s="11"/>
      <c r="J123" s="11"/>
      <c r="K123" s="11"/>
      <c r="L123" s="11">
        <f>SUM(L120:L122)</f>
        <v>25000</v>
      </c>
      <c r="M123" s="11">
        <f>SUM(M120:M122)</f>
        <v>25000</v>
      </c>
      <c r="N123" s="11">
        <f>SUM(N120:N122)</f>
        <v>25000</v>
      </c>
      <c r="O123" s="11">
        <f>SUM(O120:O122)</f>
        <v>25000</v>
      </c>
      <c r="P123" s="11">
        <f>SUM(P120:P122)</f>
        <v>25000</v>
      </c>
      <c r="Q123" s="11">
        <f>SUM(Q120:Q122)</f>
        <v>25000</v>
      </c>
      <c r="R123" s="11">
        <f>SUM(R120:R122)</f>
        <v>25000</v>
      </c>
      <c r="S123" s="11">
        <f>SUM(S120:S122)</f>
        <v>25000</v>
      </c>
      <c r="T123" s="11">
        <f>SUM(T120:T122)</f>
        <v>25000</v>
      </c>
      <c r="U123" s="11"/>
      <c r="V123" s="11"/>
      <c r="W123" s="11"/>
      <c r="X123" s="3"/>
      <c r="Y123" s="3"/>
      <c r="Z123" s="2"/>
    </row>
    <row r="124" spans="1:29" x14ac:dyDescent="0.35">
      <c r="A124" s="8"/>
      <c r="B124" s="8"/>
      <c r="C124" s="8"/>
      <c r="D124" s="8"/>
      <c r="E124" s="9" t="s">
        <v>20</v>
      </c>
      <c r="F124" s="3">
        <v>1275000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2"/>
    </row>
    <row r="125" spans="1:29" x14ac:dyDescent="0.35">
      <c r="A125" s="8"/>
      <c r="B125" s="8"/>
      <c r="C125" s="8"/>
      <c r="D125" s="8"/>
      <c r="E125" s="3" t="s">
        <v>5</v>
      </c>
      <c r="F125" s="3"/>
      <c r="G125" s="3"/>
      <c r="H125" s="3"/>
      <c r="I125" s="3"/>
      <c r="J125" s="3"/>
      <c r="K125" s="3"/>
      <c r="L125" s="3">
        <v>67043.777777777694</v>
      </c>
      <c r="M125" s="3">
        <v>67043.777777777694</v>
      </c>
      <c r="N125" s="3">
        <v>67043.777777777694</v>
      </c>
      <c r="O125" s="3">
        <v>67043.777777777694</v>
      </c>
      <c r="P125" s="3">
        <v>67043.777777777694</v>
      </c>
      <c r="Q125" s="3">
        <v>67043.777777777694</v>
      </c>
      <c r="R125" s="3">
        <v>67043.777777777694</v>
      </c>
      <c r="S125" s="3">
        <v>67043.777777777694</v>
      </c>
      <c r="T125" s="3">
        <v>67043.777777777694</v>
      </c>
      <c r="U125" s="3"/>
      <c r="V125" s="3"/>
      <c r="W125" s="3"/>
      <c r="X125" s="3"/>
      <c r="Y125" s="3"/>
      <c r="Z125" s="2"/>
    </row>
    <row r="126" spans="1:29" x14ac:dyDescent="0.35">
      <c r="A126" s="8"/>
      <c r="B126" s="8"/>
      <c r="C126" s="8"/>
      <c r="D126" s="8"/>
      <c r="E126" s="9" t="s">
        <v>4</v>
      </c>
      <c r="F126" s="3">
        <f t="array" ref="F126">F124-(L125+M125+N125+O125+P125+Q125+R125+S125+T125)/3</f>
        <v>1073868.666666667</v>
      </c>
      <c r="G126" s="3"/>
      <c r="H126" s="3"/>
      <c r="I126" s="3"/>
      <c r="J126" s="3"/>
      <c r="K126" s="3"/>
      <c r="L126" s="3">
        <f>$F126/9</f>
        <v>119318.74074074077</v>
      </c>
      <c r="M126" s="3">
        <f>$F126/9</f>
        <v>119318.74074074077</v>
      </c>
      <c r="N126" s="3">
        <f>$F126/9</f>
        <v>119318.74074074077</v>
      </c>
      <c r="O126" s="3">
        <f>$F126/9</f>
        <v>119318.74074074077</v>
      </c>
      <c r="P126" s="3">
        <f>$F126/9</f>
        <v>119318.74074074077</v>
      </c>
      <c r="Q126" s="3">
        <f>$F126/9</f>
        <v>119318.74074074077</v>
      </c>
      <c r="R126" s="3">
        <f>$F126/9</f>
        <v>119318.74074074077</v>
      </c>
      <c r="S126" s="3">
        <f>$F126/9</f>
        <v>119318.74074074077</v>
      </c>
      <c r="T126" s="3">
        <f>$F126/9</f>
        <v>119318.74074074077</v>
      </c>
      <c r="U126" s="3"/>
      <c r="V126" s="3"/>
      <c r="W126" s="3"/>
      <c r="X126" s="3"/>
      <c r="Y126" s="3"/>
      <c r="Z126" s="2"/>
    </row>
    <row r="127" spans="1:29" x14ac:dyDescent="0.35">
      <c r="A127" s="8"/>
      <c r="B127" s="8"/>
      <c r="C127" s="8"/>
      <c r="D127" s="8"/>
      <c r="E127" s="3" t="s">
        <v>3</v>
      </c>
      <c r="F127" s="3">
        <f>F126</f>
        <v>1073868.666666667</v>
      </c>
      <c r="G127" s="3"/>
      <c r="H127" s="3"/>
      <c r="I127" s="3"/>
      <c r="J127" s="3"/>
      <c r="K127" s="3"/>
      <c r="L127" s="3">
        <f>$F127/9</f>
        <v>119318.74074074077</v>
      </c>
      <c r="M127" s="3">
        <f>$F127/9</f>
        <v>119318.74074074077</v>
      </c>
      <c r="N127" s="3">
        <f>$F127/9</f>
        <v>119318.74074074077</v>
      </c>
      <c r="O127" s="3">
        <f>$F127/9</f>
        <v>119318.74074074077</v>
      </c>
      <c r="P127" s="3">
        <f>$F127/9</f>
        <v>119318.74074074077</v>
      </c>
      <c r="Q127" s="3">
        <f>$F127/9</f>
        <v>119318.74074074077</v>
      </c>
      <c r="R127" s="3">
        <f>$F127/9</f>
        <v>119318.74074074077</v>
      </c>
      <c r="S127" s="3">
        <f>$F127/9</f>
        <v>119318.74074074077</v>
      </c>
      <c r="T127" s="3">
        <f>$F127/9</f>
        <v>119318.74074074077</v>
      </c>
      <c r="U127" s="3"/>
      <c r="V127" s="3"/>
      <c r="W127" s="3"/>
      <c r="X127" s="3"/>
      <c r="Y127" s="3"/>
      <c r="Z127" s="2"/>
    </row>
    <row r="128" spans="1:29" x14ac:dyDescent="0.35">
      <c r="A128" s="8"/>
      <c r="B128" s="8"/>
      <c r="C128" s="8"/>
      <c r="D128" s="8"/>
      <c r="E128" s="3" t="s">
        <v>2</v>
      </c>
      <c r="F128" s="3">
        <f>F126</f>
        <v>1073868.666666667</v>
      </c>
      <c r="G128" s="3"/>
      <c r="H128" s="3"/>
      <c r="I128" s="3"/>
      <c r="J128" s="3"/>
      <c r="K128" s="3"/>
      <c r="L128" s="3">
        <f>$F128/9</f>
        <v>119318.74074074077</v>
      </c>
      <c r="M128" s="3">
        <f>$F128/9</f>
        <v>119318.74074074077</v>
      </c>
      <c r="N128" s="3">
        <f>$F128/9</f>
        <v>119318.74074074077</v>
      </c>
      <c r="O128" s="3">
        <f>$F128/9</f>
        <v>119318.74074074077</v>
      </c>
      <c r="P128" s="3">
        <f>$F128/9</f>
        <v>119318.74074074077</v>
      </c>
      <c r="Q128" s="3">
        <f>$F128/9</f>
        <v>119318.74074074077</v>
      </c>
      <c r="R128" s="3">
        <f>$F128/9</f>
        <v>119318.74074074077</v>
      </c>
      <c r="S128" s="3">
        <f>$F128/9</f>
        <v>119318.74074074077</v>
      </c>
      <c r="T128" s="3">
        <f>$F128/9</f>
        <v>119318.74074074077</v>
      </c>
      <c r="U128" s="3"/>
      <c r="V128" s="3"/>
      <c r="W128" s="3"/>
      <c r="X128" s="3"/>
      <c r="Y128" s="3"/>
      <c r="Z128" s="2"/>
    </row>
    <row r="129" spans="1:26" x14ac:dyDescent="0.35">
      <c r="A129" s="6"/>
      <c r="B129" s="6"/>
      <c r="C129" s="6"/>
      <c r="D129" s="6"/>
      <c r="E129" s="4" t="s">
        <v>1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3"/>
      <c r="Y129" s="3"/>
      <c r="Z129" s="2"/>
    </row>
    <row r="130" spans="1:26" x14ac:dyDescent="0.35">
      <c r="Z130" s="2"/>
    </row>
    <row r="131" spans="1:26" x14ac:dyDescent="0.35">
      <c r="Z131" s="2"/>
    </row>
    <row r="132" spans="1:26" x14ac:dyDescent="0.35">
      <c r="A132" s="16" t="s">
        <v>19</v>
      </c>
      <c r="B132" s="16" t="s">
        <v>18</v>
      </c>
      <c r="C132" s="16" t="s">
        <v>17</v>
      </c>
      <c r="D132" s="16" t="s">
        <v>16</v>
      </c>
      <c r="E132" s="16" t="s">
        <v>15</v>
      </c>
      <c r="F132" s="16" t="s">
        <v>14</v>
      </c>
      <c r="G132" s="17"/>
      <c r="H132" s="17">
        <v>45627</v>
      </c>
      <c r="I132" s="17">
        <v>45682</v>
      </c>
      <c r="J132" s="17">
        <v>45689</v>
      </c>
      <c r="K132" s="17">
        <v>45717</v>
      </c>
      <c r="L132" s="17">
        <v>45772</v>
      </c>
      <c r="M132" s="17">
        <v>45778</v>
      </c>
      <c r="N132" s="17">
        <v>45809</v>
      </c>
      <c r="O132" s="17">
        <v>45839</v>
      </c>
      <c r="P132" s="17">
        <v>45870</v>
      </c>
      <c r="Q132" s="17">
        <v>45901</v>
      </c>
      <c r="R132" s="17">
        <v>45931</v>
      </c>
      <c r="S132" s="17">
        <v>45962</v>
      </c>
      <c r="T132" s="17">
        <v>45992</v>
      </c>
      <c r="U132" s="17">
        <v>46023</v>
      </c>
      <c r="V132" s="17">
        <v>46054</v>
      </c>
      <c r="W132" s="17">
        <v>46082</v>
      </c>
      <c r="X132" s="17">
        <v>46137</v>
      </c>
      <c r="Y132" s="16" t="s">
        <v>13</v>
      </c>
      <c r="Z132" s="2"/>
    </row>
    <row r="133" spans="1:26" x14ac:dyDescent="0.35">
      <c r="A133" s="15">
        <v>11</v>
      </c>
      <c r="B133" s="15" t="s">
        <v>12</v>
      </c>
      <c r="C133" s="15" t="s">
        <v>11</v>
      </c>
      <c r="D133" s="15">
        <v>200000</v>
      </c>
      <c r="E133" s="14" t="s">
        <v>10</v>
      </c>
      <c r="F133" s="3">
        <v>0</v>
      </c>
      <c r="G133" s="7"/>
      <c r="H133" s="7"/>
      <c r="I133" s="7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2"/>
    </row>
    <row r="134" spans="1:26" x14ac:dyDescent="0.35">
      <c r="A134" s="8"/>
      <c r="B134" s="8"/>
      <c r="C134" s="8"/>
      <c r="D134" s="8"/>
      <c r="E134" s="14" t="s">
        <v>9</v>
      </c>
      <c r="F134" s="3">
        <v>0</v>
      </c>
      <c r="G134" s="7"/>
      <c r="H134" s="7"/>
      <c r="I134" s="7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2"/>
    </row>
    <row r="135" spans="1:26" x14ac:dyDescent="0.35">
      <c r="A135" s="8"/>
      <c r="B135" s="8"/>
      <c r="C135" s="8"/>
      <c r="D135" s="8"/>
      <c r="E135" s="14" t="s">
        <v>8</v>
      </c>
      <c r="F135" s="3">
        <v>10000</v>
      </c>
      <c r="G135" s="7"/>
      <c r="H135" s="7"/>
      <c r="I135" s="7"/>
      <c r="J135" s="3"/>
      <c r="K135" s="3"/>
      <c r="L135" s="3"/>
      <c r="M135" s="3"/>
      <c r="N135" s="3">
        <v>10000</v>
      </c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2"/>
    </row>
    <row r="136" spans="1:26" x14ac:dyDescent="0.35">
      <c r="A136" s="8"/>
      <c r="B136" s="8"/>
      <c r="C136" s="8"/>
      <c r="D136" s="8"/>
      <c r="E136" s="13" t="s">
        <v>7</v>
      </c>
      <c r="F136" s="11">
        <v>10000</v>
      </c>
      <c r="G136" s="12"/>
      <c r="H136" s="12"/>
      <c r="I136" s="12"/>
      <c r="J136" s="11"/>
      <c r="K136" s="11"/>
      <c r="L136" s="11"/>
      <c r="M136" s="11"/>
      <c r="N136" s="11">
        <v>10000</v>
      </c>
      <c r="O136" s="11"/>
      <c r="P136" s="11"/>
      <c r="Q136" s="11"/>
      <c r="R136" s="11"/>
      <c r="S136" s="11"/>
      <c r="T136" s="11"/>
      <c r="U136" s="11"/>
      <c r="V136" s="11"/>
      <c r="W136" s="11"/>
      <c r="X136" s="3"/>
      <c r="Y136" s="3"/>
      <c r="Z136" s="2"/>
    </row>
    <row r="137" spans="1:26" x14ac:dyDescent="0.35">
      <c r="A137" s="8"/>
      <c r="B137" s="8"/>
      <c r="C137" s="8"/>
      <c r="D137" s="8"/>
      <c r="E137" s="9" t="s">
        <v>6</v>
      </c>
      <c r="F137" s="3">
        <v>190000</v>
      </c>
      <c r="G137" s="7"/>
      <c r="H137" s="7"/>
      <c r="I137" s="7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2"/>
    </row>
    <row r="138" spans="1:26" x14ac:dyDescent="0.35">
      <c r="A138" s="8"/>
      <c r="B138" s="8"/>
      <c r="C138" s="8"/>
      <c r="D138" s="8"/>
      <c r="E138" s="3" t="s">
        <v>5</v>
      </c>
      <c r="F138" s="3">
        <v>98032</v>
      </c>
      <c r="G138" s="7"/>
      <c r="H138" s="7"/>
      <c r="I138" s="7"/>
      <c r="J138" s="3"/>
      <c r="K138" s="3"/>
      <c r="L138" s="3"/>
      <c r="M138" s="3">
        <v>0</v>
      </c>
      <c r="N138" s="3">
        <v>0</v>
      </c>
      <c r="O138" s="10">
        <v>0</v>
      </c>
      <c r="P138" s="10">
        <v>0</v>
      </c>
      <c r="Q138" s="10">
        <v>0</v>
      </c>
      <c r="R138" s="10">
        <v>14004</v>
      </c>
      <c r="S138" s="10">
        <v>14004</v>
      </c>
      <c r="T138" s="10">
        <v>14004</v>
      </c>
      <c r="U138" s="10">
        <v>14005</v>
      </c>
      <c r="V138" s="10">
        <v>14005</v>
      </c>
      <c r="W138" s="10">
        <v>14005</v>
      </c>
      <c r="X138" s="10">
        <v>14005</v>
      </c>
      <c r="Y138" s="3">
        <v>98032</v>
      </c>
      <c r="Z138" s="2"/>
    </row>
    <row r="139" spans="1:26" x14ac:dyDescent="0.35">
      <c r="A139" s="8"/>
      <c r="B139" s="8"/>
      <c r="C139" s="8"/>
      <c r="D139" s="8"/>
      <c r="E139" s="9" t="s">
        <v>4</v>
      </c>
      <c r="F139" s="3">
        <v>27590.400000000001</v>
      </c>
      <c r="G139" s="7"/>
      <c r="H139" s="7"/>
      <c r="I139" s="7"/>
      <c r="J139" s="3"/>
      <c r="K139" s="3"/>
      <c r="L139" s="3"/>
      <c r="M139" s="3"/>
      <c r="N139" s="3"/>
      <c r="O139" s="3"/>
      <c r="P139" s="3"/>
      <c r="Q139" s="3"/>
      <c r="R139" s="3">
        <v>13795.2</v>
      </c>
      <c r="S139" s="3">
        <v>13795.2</v>
      </c>
      <c r="T139" s="3"/>
      <c r="U139" s="3"/>
      <c r="V139" s="3"/>
      <c r="W139" s="3"/>
      <c r="X139" s="3"/>
      <c r="Y139" s="3">
        <v>27590.400000000001</v>
      </c>
      <c r="Z139" s="2"/>
    </row>
    <row r="140" spans="1:26" x14ac:dyDescent="0.35">
      <c r="A140" s="8"/>
      <c r="B140" s="8"/>
      <c r="C140" s="8"/>
      <c r="D140" s="8"/>
      <c r="E140" s="3" t="s">
        <v>3</v>
      </c>
      <c r="F140" s="3">
        <v>45984</v>
      </c>
      <c r="G140" s="7"/>
      <c r="H140" s="7"/>
      <c r="I140" s="7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>
        <v>15328</v>
      </c>
      <c r="U140" s="3">
        <v>15328</v>
      </c>
      <c r="V140" s="3">
        <v>15328</v>
      </c>
      <c r="W140" s="3"/>
      <c r="X140" s="3"/>
      <c r="Y140" s="3">
        <v>45984</v>
      </c>
      <c r="Z140" s="2"/>
    </row>
    <row r="141" spans="1:26" x14ac:dyDescent="0.35">
      <c r="A141" s="8"/>
      <c r="B141" s="8"/>
      <c r="C141" s="8"/>
      <c r="D141" s="8"/>
      <c r="E141" s="3" t="s">
        <v>2</v>
      </c>
      <c r="F141" s="3">
        <v>18393.599999999999</v>
      </c>
      <c r="G141" s="7"/>
      <c r="H141" s="7"/>
      <c r="I141" s="7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>
        <v>9196.7999999999993</v>
      </c>
      <c r="X141" s="3">
        <v>9196.7999999999993</v>
      </c>
      <c r="Y141" s="3">
        <v>18393.599999999999</v>
      </c>
      <c r="Z141" s="2"/>
    </row>
    <row r="142" spans="1:26" x14ac:dyDescent="0.35">
      <c r="A142" s="6"/>
      <c r="B142" s="6"/>
      <c r="C142" s="6"/>
      <c r="D142" s="6"/>
      <c r="E142" s="4" t="s">
        <v>1</v>
      </c>
      <c r="F142" s="4"/>
      <c r="G142" s="5"/>
      <c r="H142" s="5"/>
      <c r="I142" s="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3"/>
      <c r="Y142" s="3"/>
      <c r="Z142" s="2"/>
    </row>
    <row r="147" spans="8:8" x14ac:dyDescent="0.35">
      <c r="H147" s="1" t="s">
        <v>0</v>
      </c>
    </row>
  </sheetData>
  <mergeCells count="44">
    <mergeCell ref="A3:A12"/>
    <mergeCell ref="B3:B12"/>
    <mergeCell ref="C3:C12"/>
    <mergeCell ref="D3:D12"/>
    <mergeCell ref="B16:B25"/>
    <mergeCell ref="C16:C25"/>
    <mergeCell ref="D16:D25"/>
    <mergeCell ref="C42:C51"/>
    <mergeCell ref="D42:D51"/>
    <mergeCell ref="A16:A25"/>
    <mergeCell ref="A29:A38"/>
    <mergeCell ref="B29:B38"/>
    <mergeCell ref="C29:C38"/>
    <mergeCell ref="D29:D38"/>
    <mergeCell ref="A42:A51"/>
    <mergeCell ref="B42:B51"/>
    <mergeCell ref="A55:A64"/>
    <mergeCell ref="B55:B64"/>
    <mergeCell ref="C55:C64"/>
    <mergeCell ref="D55:D64"/>
    <mergeCell ref="B68:B77"/>
    <mergeCell ref="C68:C77"/>
    <mergeCell ref="D68:D77"/>
    <mergeCell ref="A68:A77"/>
    <mergeCell ref="A81:A90"/>
    <mergeCell ref="B81:B90"/>
    <mergeCell ref="C81:C90"/>
    <mergeCell ref="D81:D90"/>
    <mergeCell ref="A94:A103"/>
    <mergeCell ref="B94:B103"/>
    <mergeCell ref="A133:A142"/>
    <mergeCell ref="B133:B142"/>
    <mergeCell ref="C133:C142"/>
    <mergeCell ref="D133:D142"/>
    <mergeCell ref="C94:C103"/>
    <mergeCell ref="D94:D103"/>
    <mergeCell ref="A107:A116"/>
    <mergeCell ref="B107:B116"/>
    <mergeCell ref="C107:C116"/>
    <mergeCell ref="D107:D116"/>
    <mergeCell ref="B120:B129"/>
    <mergeCell ref="C120:C129"/>
    <mergeCell ref="D120:D129"/>
    <mergeCell ref="A120:A129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MASTER FILE -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Aksayaa Aksayaa</dc:creator>
  <cp:lastModifiedBy>Aksayaa Aksayaa</cp:lastModifiedBy>
  <dcterms:created xsi:type="dcterms:W3CDTF">2025-11-16T18:12:46Z</dcterms:created>
  <dcterms:modified xsi:type="dcterms:W3CDTF">2025-11-16T18:48:33Z</dcterms:modified>
</cp:coreProperties>
</file>